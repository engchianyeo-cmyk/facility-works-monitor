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273446017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Rate Library" sheetId="1" r:id="Re95e8cf07b104c19"/>
    <x:sheet xmlns:r="http://schemas.openxmlformats.org/officeDocument/2006/relationships" name="Agreed Rate Schedule" sheetId="2" r:id="R384410b97b024c66"/>
    <x:sheet xmlns:r="http://schemas.openxmlformats.org/officeDocument/2006/relationships" name="Quotation Examples" sheetId="3" r:id="R1b820abe42e1496d"/>
    <x:sheet xmlns:r="http://schemas.openxmlformats.org/officeDocument/2006/relationships" name="Personnel Actual" sheetId="4" r:id="Rea84ced1502d4768"/>
    <x:sheet xmlns:r="http://schemas.openxmlformats.org/officeDocument/2006/relationships" name="Materials Actual" sheetId="5" r:id="R778d3d9f03f44d6f"/>
    <x:sheet xmlns:r="http://schemas.openxmlformats.org/officeDocument/2006/relationships" name="Equipment Actual" sheetId="6" r:id="R72c4432cb33142ae"/>
    <x:sheet xmlns:r="http://schemas.openxmlformats.org/officeDocument/2006/relationships" name="Cost Simulation" sheetId="7" r:id="R779e49b21857465f"/>
    <x:sheet xmlns:r="http://schemas.openxmlformats.org/officeDocument/2006/relationships" name="README" sheetId="8" r:id="Rb98f545043a8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c3e1c68bd74ae1" /><Relationship Type="http://schemas.openxmlformats.org/officeDocument/2006/relationships/theme" Target="/xl/theme/theme1.xml" Id="R4748c4c599b0462c" /><Relationship Type="http://schemas.openxmlformats.org/officeDocument/2006/relationships/sharedStrings" Target="/xl/sharedStrings.xml" Id="R2407fa68a0344837" /><Relationship Type="http://schemas.openxmlformats.org/officeDocument/2006/relationships/worksheet" Target="/xl/worksheets/sheet1.xml" Id="Re95e8cf07b104c19" /><Relationship Type="http://schemas.openxmlformats.org/officeDocument/2006/relationships/worksheet" Target="/xl/worksheets/sheet2.xml" Id="R384410b97b024c66" /><Relationship Type="http://schemas.openxmlformats.org/officeDocument/2006/relationships/worksheet" Target="/xl/worksheets/sheet3.xml" Id="R1b820abe42e1496d" /><Relationship Type="http://schemas.openxmlformats.org/officeDocument/2006/relationships/worksheet" Target="/xl/worksheets/sheet4.xml" Id="Rea84ced1502d4768" /><Relationship Type="http://schemas.openxmlformats.org/officeDocument/2006/relationships/worksheet" Target="/xl/worksheets/sheet5.xml" Id="R778d3d9f03f44d6f" /><Relationship Type="http://schemas.openxmlformats.org/officeDocument/2006/relationships/worksheet" Target="/xl/worksheets/sheet6.xml" Id="R72c4432cb33142ae" /><Relationship Type="http://schemas.openxmlformats.org/officeDocument/2006/relationships/worksheet" Target="/xl/worksheets/sheet7.xml" Id="R779e49b21857465f" /><Relationship Type="http://schemas.openxmlformats.org/officeDocument/2006/relationships/worksheet" Target="/xl/worksheets/sheet8.xml" Id="Rb98f545043a840f8" /></Relationships>
</file>

<file path=xl/tables/table1.xml><?xml version="1.0" encoding="utf-8"?>
<x:table xmlns:x="http://schemas.openxmlformats.org/spreadsheetml/2006/main" id="1" name="UATRateLibrary" displayName="UATRateLibrary" ref="A1:G34" headerRowCount="1" totalsRowCount="0" totalsRowShown="0">
  <x:tableColumns count="7">
    <x:tableColumn id="1" name="Rate Code"/>
    <x:tableColumn id="2" name="Category"/>
    <x:tableColumn id="3" name="Item / Personnel Category"/>
    <x:tableColumn id="4" name="Unit"/>
    <x:tableColumn id="5" name="Normal Rate (SGD)"/>
    <x:tableColumn id="6" name="Emergency Rate (SGD)"/>
    <x:tableColumn id="7" name="Remar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reedRates" displayName="AgreedRates" ref="A1:M34" headerRowCount="1" totalsRowCount="0" totalsRowShown="0">
  <x:tableColumns count="13">
    <x:tableColumn id="1" name="Contractor Name"/>
    <x:tableColumn id="2" name="Contractor ID"/>
    <x:tableColumn id="3" name="Rate Schedule Ref"/>
    <x:tableColumn id="4" name="Effective From"/>
    <x:tableColumn id="5" name="Effective To"/>
    <x:tableColumn id="6" name="Rate Code"/>
    <x:tableColumn id="7" name="Rate Category"/>
    <x:tableColumn id="8" name="Item / Personnel Category"/>
    <x:tableColumn id="9" name="Description"/>
    <x:tableColumn id="10" name="Unit"/>
    <x:tableColumn id="11" name="Agreed Unit Rate (SGD)"/>
    <x:tableColumn id="12" name="Emergency Unit Rate (SGD)"/>
    <x:tableColumn id="13" name="Remark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otationExamples" displayName="QuotationExamples" ref="A1:K15" headerRowCount="1" totalsRowCount="0" totalsRowShown="0">
  <x:tableColumns count="11">
    <x:tableColumn id="1" name="Work Order No."/>
    <x:tableColumn id="2" name="Scenario"/>
    <x:tableColumn id="3" name="Cost Category"/>
    <x:tableColumn id="4" name="Rate Code"/>
    <x:tableColumn id="5" name="Description"/>
    <x:tableColumn id="6" name="Unit"/>
    <x:tableColumn id="7" name="Agreed Rate (SGD)"/>
    <x:tableColumn id="8" name="Quoted Qty / Hours"/>
    <x:tableColumn id="9" name="Quoted Amount (SGD)"/>
    <x:tableColumn id="10" name="Rate Exception?"/>
    <x:tableColumn id="11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sonnelActual" displayName="PersonnelActual" ref="A1:M3" headerRowCount="1" totalsRowCount="0" totalsRowShown="0">
  <x:tableColumns count="13">
    <x:tableColumn id="1" name="Work Order No."/>
    <x:tableColumn id="2" name="Contractor Name"/>
    <x:tableColumn id="3" name="Personnel Name"/>
    <x:tableColumn id="4" name="Employee / Worker ID"/>
    <x:tableColumn id="5" name="Trade / Designation"/>
    <x:tableColumn id="6" name="Skill Category"/>
    <x:tableColumn id="7" name="Work Date"/>
    <x:tableColumn id="8" name="Normal Hours"/>
    <x:tableColumn id="9" name="OT Hours"/>
    <x:tableColumn id="10" name="Normal Hourly Rate (SGD)"/>
    <x:tableColumn id="11" name="OT Hourly Rate (SGD)"/>
    <x:tableColumn id="12" name="Actual Labour Amount (SGD)"/>
    <x:tableColumn id="13" name="Remark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sActual" displayName="MaterialsActual" ref="A1:L3" headerRowCount="1" totalsRowCount="0" totalsRowShown="0">
  <x:tableColumns count="12">
    <x:tableColumn id="1" name="Work Order No."/>
    <x:tableColumn id="2" name="Contractor Name"/>
    <x:tableColumn id="3" name="Item / Part No."/>
    <x:tableColumn id="4" name="Description"/>
    <x:tableColumn id="5" name="Unit"/>
    <x:tableColumn id="6" name="Actual Quantity"/>
    <x:tableColumn id="7" name="Agreed Unit Rate (SGD)"/>
    <x:tableColumn id="8" name="Actual Unit Rate (SGD)"/>
    <x:tableColumn id="9" name="Actual Amount (SGD)"/>
    <x:tableColumn id="10" name="Rate Exception?"/>
    <x:tableColumn id="11" name="Exception Reason"/>
    <x:tableColumn id="12" name="Remark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quipmentActual" displayName="EquipmentActual" ref="A1:L2" headerRowCount="1" totalsRowCount="0" totalsRowShown="0">
  <x:tableColumns count="12">
    <x:tableColumn id="1" name="Work Order No."/>
    <x:tableColumn id="2" name="Contractor Name"/>
    <x:tableColumn id="3" name="Equipment / Service Ref"/>
    <x:tableColumn id="4" name="Equipment / Service Description"/>
    <x:tableColumn id="5" name="Unit"/>
    <x:tableColumn id="6" name="Actual Quantity"/>
    <x:tableColumn id="7" name="Agreed Unit Rate (SGD)"/>
    <x:tableColumn id="8" name="Actual Unit Rate (SGD)"/>
    <x:tableColumn id="9" name="Actual Amount (SGD)"/>
    <x:tableColumn id="10" name="Rate Exception?"/>
    <x:tableColumn id="11" name="Exception Reason"/>
    <x:tableColumn id="12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3eeac3d97345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74af86ec6e42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4fe7dc715e47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3089641d7c43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5b484490ad548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ecb332ae45f4d58" /></Relationships>
</file>

<file path=xl/worksheets/sheet1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9.880000114440918" hidden="0" customWidth="1"/>
    <x:col min="3" max="3" width="30" hidden="0" customWidth="1"/>
    <x:col min="4" max="4" width="8" hidden="0" customWidth="1"/>
    <x:col min="5" max="5" width="17.3799991607666" hidden="0" customWidth="1"/>
    <x:col min="6" max="6" width="20" hidden="0" customWidth="1"/>
    <x:col min="7" max="7" width="34" hidden="0" customWidth="1"/>
  </x:cols>
  <x:sheetData>
    <x:row r="1">
      <x:c r="A1" s="4" t="str">
        <x:v>Rate Code</x:v>
      </x:c>
      <x:c r="B1" s="4" t="str">
        <x:v>Category</x:v>
      </x:c>
      <x:c r="C1" s="4" t="str">
        <x:v>Item / Personnel Category</x:v>
      </x:c>
      <x:c r="D1" s="4" t="str">
        <x:v>Unit</x:v>
      </x:c>
      <x:c r="E1" s="4" t="str">
        <x:v>Normal Rate (SGD)</x:v>
      </x:c>
      <x:c r="F1" s="4" t="str">
        <x:v>Emergency Rate (SGD)</x:v>
      </x:c>
      <x:c r="G1" s="4" t="str">
        <x:v>Remarks</x:v>
      </x:c>
    </x:row>
    <x:row r="2">
      <x:c r="A2" t="str">
        <x:v>LAB-GEN-TECH</x:v>
      </x:c>
      <x:c r="B2" t="str">
        <x:v>Labour</x:v>
      </x:c>
      <x:c r="C2" t="str">
        <x:v>General FM Technician</x:v>
      </x:c>
      <x:c r="D2" t="str">
        <x:v>man-hour</x:v>
      </x:c>
      <x:c r="E2" s="8" t="n">
        <x:v>45</x:v>
      </x:c>
      <x:c r="F2" s="8" t="n">
        <x:v>75</x:v>
      </x:c>
      <x:c r="G2" t="str">
        <x:v>General facilities maintenance</x:v>
      </x:c>
    </x:row>
    <x:row r="3">
      <x:c r="A3" t="str">
        <x:v>LAB-ELEC-TECH</x:v>
      </x:c>
      <x:c r="B3" t="str">
        <x:v>Labour</x:v>
      </x:c>
      <x:c r="C3" t="str">
        <x:v>Electrical Technician</x:v>
      </x:c>
      <x:c r="D3" t="str">
        <x:v>man-hour</x:v>
      </x:c>
      <x:c r="E3" s="8" t="n">
        <x:v>65</x:v>
      </x:c>
      <x:c r="F3" s="8" t="n">
        <x:v>100</x:v>
      </x:c>
      <x:c r="G3" t="str">
        <x:v>Electrical maintenance</x:v>
      </x:c>
    </x:row>
    <x:row r="4">
      <x:c r="A4" t="str">
        <x:v>LAB-ELEC-SR</x:v>
      </x:c>
      <x:c r="B4" t="str">
        <x:v>Labour</x:v>
      </x:c>
      <x:c r="C4" t="str">
        <x:v>Senior Electrical Technician</x:v>
      </x:c>
      <x:c r="D4" t="str">
        <x:v>man-hour</x:v>
      </x:c>
      <x:c r="E4" s="8" t="n">
        <x:v>85</x:v>
      </x:c>
      <x:c r="F4" s="8" t="n">
        <x:v>130</x:v>
      </x:c>
      <x:c r="G4" t="str">
        <x:v>Senior electrical / troubleshooting</x:v>
      </x:c>
    </x:row>
    <x:row r="5">
      <x:c r="A5" t="str">
        <x:v>LAB-MECH-TECH</x:v>
      </x:c>
      <x:c r="B5" t="str">
        <x:v>Labour</x:v>
      </x:c>
      <x:c r="C5" t="str">
        <x:v>Mechanical Technician</x:v>
      </x:c>
      <x:c r="D5" t="str">
        <x:v>man-hour</x:v>
      </x:c>
      <x:c r="E5" s="8" t="n">
        <x:v>60</x:v>
      </x:c>
      <x:c r="F5" s="8" t="n">
        <x:v>95</x:v>
      </x:c>
      <x:c r="G5" t="str">
        <x:v>Mechanical maintenance</x:v>
      </x:c>
    </x:row>
    <x:row r="6">
      <x:c r="A6" t="str">
        <x:v>LAB-HVAC-TECH</x:v>
      </x:c>
      <x:c r="B6" t="str">
        <x:v>Labour</x:v>
      </x:c>
      <x:c r="C6" t="str">
        <x:v>HVAC Technician</x:v>
      </x:c>
      <x:c r="D6" t="str">
        <x:v>man-hour</x:v>
      </x:c>
      <x:c r="E6" s="8" t="n">
        <x:v>65</x:v>
      </x:c>
      <x:c r="F6" s="8" t="n">
        <x:v>100</x:v>
      </x:c>
      <x:c r="G6" t="str">
        <x:v>HVAC maintenance</x:v>
      </x:c>
    </x:row>
    <x:row r="7">
      <x:c r="A7" t="str">
        <x:v>LAB-FIRE-ALARM</x:v>
      </x:c>
      <x:c r="B7" t="str">
        <x:v>Labour</x:v>
      </x:c>
      <x:c r="C7" t="str">
        <x:v>Fire Alarm Technician</x:v>
      </x:c>
      <x:c r="D7" t="str">
        <x:v>man-hour</x:v>
      </x:c>
      <x:c r="E7" s="8" t="n">
        <x:v>75</x:v>
      </x:c>
      <x:c r="F7" s="8" t="n">
        <x:v>115</x:v>
      </x:c>
      <x:c r="G7" t="str">
        <x:v>Fire alarm specialist</x:v>
      </x:c>
    </x:row>
    <x:row r="8">
      <x:c r="A8" t="str">
        <x:v>LAB-FIRE-PROT</x:v>
      </x:c>
      <x:c r="B8" t="str">
        <x:v>Labour</x:v>
      </x:c>
      <x:c r="C8" t="str">
        <x:v>Fire Protection Technician</x:v>
      </x:c>
      <x:c r="D8" t="str">
        <x:v>man-hour</x:v>
      </x:c>
      <x:c r="E8" s="8" t="n">
        <x:v>70</x:v>
      </x:c>
      <x:c r="F8" s="8" t="n">
        <x:v>110</x:v>
      </x:c>
      <x:c r="G8" t="str">
        <x:v>Fire protection systems</x:v>
      </x:c>
    </x:row>
    <x:row r="9">
      <x:c r="A9" t="str">
        <x:v>LAB-BMS</x:v>
      </x:c>
      <x:c r="B9" t="str">
        <x:v>Labour</x:v>
      </x:c>
      <x:c r="C9" t="str">
        <x:v>BMS / Controls Technician</x:v>
      </x:c>
      <x:c r="D9" t="str">
        <x:v>man-hour</x:v>
      </x:c>
      <x:c r="E9" s="8" t="n">
        <x:v>80</x:v>
      </x:c>
      <x:c r="F9" s="8" t="n">
        <x:v>125</x:v>
      </x:c>
      <x:c r="G9" t="str">
        <x:v>BMS and controls</x:v>
      </x:c>
    </x:row>
    <x:row r="10">
      <x:c r="A10" t="str">
        <x:v>LAB-ENG</x:v>
      </x:c>
      <x:c r="B10" t="str">
        <x:v>Labour</x:v>
      </x:c>
      <x:c r="C10" t="str">
        <x:v>Specialist Engineer</x:v>
      </x:c>
      <x:c r="D10" t="str">
        <x:v>man-hour</x:v>
      </x:c>
      <x:c r="E10" s="8" t="n">
        <x:v>120</x:v>
      </x:c>
      <x:c r="F10" s="8" t="n">
        <x:v>180</x:v>
      </x:c>
      <x:c r="G10" t="str">
        <x:v>Specialist engineering attendance</x:v>
      </x:c>
    </x:row>
    <x:row r="11">
      <x:c r="A11" t="str">
        <x:v>LAB-SUP</x:v>
      </x:c>
      <x:c r="B11" t="str">
        <x:v>Labour</x:v>
      </x:c>
      <x:c r="C11" t="str">
        <x:v>Supervisor / Testing Engineer</x:v>
      </x:c>
      <x:c r="D11" t="str">
        <x:v>man-hour</x:v>
      </x:c>
      <x:c r="E11" s="8" t="n">
        <x:v>95</x:v>
      </x:c>
      <x:c r="F11" s="8" t="n">
        <x:v>145</x:v>
      </x:c>
      <x:c r="G11" t="str">
        <x:v>Supervision, testing, commissioning</x:v>
      </x:c>
    </x:row>
    <x:row r="12">
      <x:c r="A12" t="str">
        <x:v>CALL-GEN</x:v>
      </x:c>
      <x:c r="B12" t="str">
        <x:v>Service</x:v>
      </x:c>
      <x:c r="C12" t="str">
        <x:v>General Contractor Call-out</x:v>
      </x:c>
      <x:c r="D12" t="str">
        <x:v>visit</x:v>
      </x:c>
      <x:c r="E12" s="8" t="n">
        <x:v>80</x:v>
      </x:c>
      <x:c r="F12" s="8" t="n">
        <x:v>150</x:v>
      </x:c>
      <x:c r="G12" t="str">
        <x:v>General attendance</x:v>
      </x:c>
    </x:row>
    <x:row r="13">
      <x:c r="A13" t="str">
        <x:v>CALL-SPEC</x:v>
      </x:c>
      <x:c r="B13" t="str">
        <x:v>Service</x:v>
      </x:c>
      <x:c r="C13" t="str">
        <x:v>Specialist Contractor Call-out</x:v>
      </x:c>
      <x:c r="D13" t="str">
        <x:v>visit</x:v>
      </x:c>
      <x:c r="E13" s="8" t="n">
        <x:v>150</x:v>
      </x:c>
      <x:c r="F13" s="8" t="n">
        <x:v>250</x:v>
      </x:c>
      <x:c r="G13" t="str">
        <x:v>Specialist attendance</x:v>
      </x:c>
    </x:row>
    <x:row r="14">
      <x:c r="A14" t="str">
        <x:v>CALL-OEM</x:v>
      </x:c>
      <x:c r="B14" t="str">
        <x:v>Service</x:v>
      </x:c>
      <x:c r="C14" t="str">
        <x:v>OEM / Major Equipment Attendance</x:v>
      </x:c>
      <x:c r="D14" t="str">
        <x:v>visit</x:v>
      </x:c>
      <x:c r="E14" s="8" t="n">
        <x:v>250</x:v>
      </x:c>
      <x:c r="F14" s="8" t="n">
        <x:v>400</x:v>
      </x:c>
      <x:c r="G14" t="str">
        <x:v>OEM/specialist major equipment</x:v>
      </x:c>
    </x:row>
    <x:row r="15">
      <x:c r="A15" t="str">
        <x:v>MOB-TRANS</x:v>
      </x:c>
      <x:c r="B15" t="str">
        <x:v>Service</x:v>
      </x:c>
      <x:c r="C15" t="str">
        <x:v>Transport / Mobilisation</x:v>
      </x:c>
      <x:c r="D15" t="str">
        <x:v>trip</x:v>
      </x:c>
      <x:c r="E15" s="8" t="n">
        <x:v>50</x:v>
      </x:c>
      <x:c r="F15" s="8" t="n">
        <x:v>80</x:v>
      </x:c>
      <x:c r="G15" t="str">
        <x:v>Transport and mobilisation</x:v>
      </x:c>
    </x:row>
    <x:row r="16">
      <x:c r="A16" t="str">
        <x:v>MAT-SMOKE</x:v>
      </x:c>
      <x:c r="B16" t="str">
        <x:v>Material</x:v>
      </x:c>
      <x:c r="C16" t="str">
        <x:v>Addressable Smoke Detector Head</x:v>
      </x:c>
      <x:c r="D16" t="str">
        <x:v>no.</x:v>
      </x:c>
      <x:c r="E16" s="8" t="n">
        <x:v>185</x:v>
      </x:c>
      <x:c r="F16" s="8" t="n">
        <x:v>185</x:v>
      </x:c>
      <x:c r="G16" t="str">
        <x:v>UAT simulated material rate</x:v>
      </x:c>
    </x:row>
    <x:row r="17">
      <x:c r="A17" t="str">
        <x:v>MAT-MODULE</x:v>
      </x:c>
      <x:c r="B17" t="str">
        <x:v>Material</x:v>
      </x:c>
      <x:c r="C17" t="str">
        <x:v>Fire Alarm Interface / Control Module</x:v>
      </x:c>
      <x:c r="D17" t="str">
        <x:v>no.</x:v>
      </x:c>
      <x:c r="E17" s="8" t="n">
        <x:v>210</x:v>
      </x:c>
      <x:c r="F17" s="8" t="n">
        <x:v>210</x:v>
      </x:c>
      <x:c r="G17" t="str">
        <x:v>UAT simulated material rate</x:v>
      </x:c>
    </x:row>
    <x:row r="18">
      <x:c r="A18" t="str">
        <x:v>MAT-MCB</x:v>
      </x:c>
      <x:c r="B18" t="str">
        <x:v>Material</x:v>
      </x:c>
      <x:c r="C18" t="str">
        <x:v>MCB 3P 32A</x:v>
      </x:c>
      <x:c r="D18" t="str">
        <x:v>no.</x:v>
      </x:c>
      <x:c r="E18" s="8" t="n">
        <x:v>85</x:v>
      </x:c>
      <x:c r="F18" s="8" t="n">
        <x:v>85</x:v>
      </x:c>
      <x:c r="G18" t="str">
        <x:v>UAT simulated material rate</x:v>
      </x:c>
    </x:row>
    <x:row r="19">
      <x:c r="A19" t="str">
        <x:v>MAT-CONTACT</x:v>
      </x:c>
      <x:c r="B19" t="str">
        <x:v>Material</x:v>
      </x:c>
      <x:c r="C19" t="str">
        <x:v>Contactor 3P 32A</x:v>
      </x:c>
      <x:c r="D19" t="str">
        <x:v>no.</x:v>
      </x:c>
      <x:c r="E19" s="8" t="n">
        <x:v>145</x:v>
      </x:c>
      <x:c r="F19" s="8" t="n">
        <x:v>145</x:v>
      </x:c>
      <x:c r="G19" t="str">
        <x:v>UAT simulated material rate</x:v>
      </x:c>
    </x:row>
    <x:row r="20">
      <x:c r="A20" t="str">
        <x:v>MAT-RELAY</x:v>
      </x:c>
      <x:c r="B20" t="str">
        <x:v>Material</x:v>
      </x:c>
      <x:c r="C20" t="str">
        <x:v>Control Relay</x:v>
      </x:c>
      <x:c r="D20" t="str">
        <x:v>no.</x:v>
      </x:c>
      <x:c r="E20" s="8" t="n">
        <x:v>45</x:v>
      </x:c>
      <x:c r="F20" s="8" t="n">
        <x:v>45</x:v>
      </x:c>
      <x:c r="G20" t="str">
        <x:v>UAT simulated material rate</x:v>
      </x:c>
    </x:row>
    <x:row r="21">
      <x:c r="A21" t="str">
        <x:v>MAT-FUSE</x:v>
      </x:c>
      <x:c r="B21" t="str">
        <x:v>Material</x:v>
      </x:c>
      <x:c r="C21" t="str">
        <x:v>Industrial Fuse</x:v>
      </x:c>
      <x:c r="D21" t="str">
        <x:v>no.</x:v>
      </x:c>
      <x:c r="E21" s="8" t="n">
        <x:v>18</x:v>
      </x:c>
      <x:c r="F21" s="8" t="n">
        <x:v>18</x:v>
      </x:c>
      <x:c r="G21" t="str">
        <x:v>UAT simulated material rate</x:v>
      </x:c>
    </x:row>
    <x:row r="22">
      <x:c r="A22" t="str">
        <x:v>MAT-CABLE</x:v>
      </x:c>
      <x:c r="B22" t="str">
        <x:v>Material</x:v>
      </x:c>
      <x:c r="C22" t="str">
        <x:v>Power / Control Cable</x:v>
      </x:c>
      <x:c r="D22" t="str">
        <x:v>m</x:v>
      </x:c>
      <x:c r="E22" s="8" t="n">
        <x:v>12</x:v>
      </x:c>
      <x:c r="F22" s="8" t="n">
        <x:v>12</x:v>
      </x:c>
      <x:c r="G22" t="str">
        <x:v>UAT simulated material rate</x:v>
      </x:c>
    </x:row>
    <x:row r="23">
      <x:c r="A23" t="str">
        <x:v>MAT-GLAND</x:v>
      </x:c>
      <x:c r="B23" t="str">
        <x:v>Material</x:v>
      </x:c>
      <x:c r="C23" t="str">
        <x:v>Cable Gland / Lug Set</x:v>
      </x:c>
      <x:c r="D23" t="str">
        <x:v>set</x:v>
      </x:c>
      <x:c r="E23" s="8" t="n">
        <x:v>22</x:v>
      </x:c>
      <x:c r="F23" s="8" t="n">
        <x:v>22</x:v>
      </x:c>
      <x:c r="G23" t="str">
        <x:v>UAT simulated material rate</x:v>
      </x:c>
    </x:row>
    <x:row r="24">
      <x:c r="A24" t="str">
        <x:v>MAT-BEARING</x:v>
      </x:c>
      <x:c r="B24" t="str">
        <x:v>Material</x:v>
      </x:c>
      <x:c r="C24" t="str">
        <x:v>Pump / Motor Bearing</x:v>
      </x:c>
      <x:c r="D24" t="str">
        <x:v>no.</x:v>
      </x:c>
      <x:c r="E24" s="8" t="n">
        <x:v>160</x:v>
      </x:c>
      <x:c r="F24" s="8" t="n">
        <x:v>160</x:v>
      </x:c>
      <x:c r="G24" t="str">
        <x:v>UAT simulated material rate</x:v>
      </x:c>
    </x:row>
    <x:row r="25">
      <x:c r="A25" t="str">
        <x:v>MAT-VBELT</x:v>
      </x:c>
      <x:c r="B25" t="str">
        <x:v>Material</x:v>
      </x:c>
      <x:c r="C25" t="str">
        <x:v>AHU V-Belt</x:v>
      </x:c>
      <x:c r="D25" t="str">
        <x:v>no.</x:v>
      </x:c>
      <x:c r="E25" s="8" t="n">
        <x:v>55</x:v>
      </x:c>
      <x:c r="F25" s="8" t="n">
        <x:v>55</x:v>
      </x:c>
      <x:c r="G25" t="str">
        <x:v>UAT simulated material rate</x:v>
      </x:c>
    </x:row>
    <x:row r="26">
      <x:c r="A26" t="str">
        <x:v>MAT-FILTER</x:v>
      </x:c>
      <x:c r="B26" t="str">
        <x:v>Material</x:v>
      </x:c>
      <x:c r="C26" t="str">
        <x:v>AHU Filter Set</x:v>
      </x:c>
      <x:c r="D26" t="str">
        <x:v>set</x:v>
      </x:c>
      <x:c r="E26" s="8" t="n">
        <x:v>120</x:v>
      </x:c>
      <x:c r="F26" s="8" t="n">
        <x:v>120</x:v>
      </x:c>
      <x:c r="G26" t="str">
        <x:v>UAT simulated material rate</x:v>
      </x:c>
    </x:row>
    <x:row r="27">
      <x:c r="A27" t="str">
        <x:v>MAT-SEAL</x:v>
      </x:c>
      <x:c r="B27" t="str">
        <x:v>Material</x:v>
      </x:c>
      <x:c r="C27" t="str">
        <x:v>Mechanical Seal Kit</x:v>
      </x:c>
      <x:c r="D27" t="str">
        <x:v>set</x:v>
      </x:c>
      <x:c r="E27" s="8" t="n">
        <x:v>280</x:v>
      </x:c>
      <x:c r="F27" s="8" t="n">
        <x:v>280</x:v>
      </x:c>
      <x:c r="G27" t="str">
        <x:v>UAT simulated material rate</x:v>
      </x:c>
    </x:row>
    <x:row r="28">
      <x:c r="A28" t="str">
        <x:v>MAT-VALVE</x:v>
      </x:c>
      <x:c r="B28" t="str">
        <x:v>Material</x:v>
      </x:c>
      <x:c r="C28" t="str">
        <x:v>Small Isolation Valve</x:v>
      </x:c>
      <x:c r="D28" t="str">
        <x:v>no.</x:v>
      </x:c>
      <x:c r="E28" s="8" t="n">
        <x:v>95</x:v>
      </x:c>
      <x:c r="F28" s="8" t="n">
        <x:v>95</x:v>
      </x:c>
      <x:c r="G28" t="str">
        <x:v>UAT simulated material rate</x:v>
      </x:c>
    </x:row>
    <x:row r="29">
      <x:c r="A29" t="str">
        <x:v>MAT-GASKET</x:v>
      </x:c>
      <x:c r="B29" t="str">
        <x:v>Material</x:v>
      </x:c>
      <x:c r="C29" t="str">
        <x:v>Gasket / Seal Set</x:v>
      </x:c>
      <x:c r="D29" t="str">
        <x:v>set</x:v>
      </x:c>
      <x:c r="E29" s="8" t="n">
        <x:v>35</x:v>
      </x:c>
      <x:c r="F29" s="8" t="n">
        <x:v>35</x:v>
      </x:c>
      <x:c r="G29" t="str">
        <x:v>UAT simulated material rate</x:v>
      </x:c>
    </x:row>
    <x:row r="30">
      <x:c r="A30" t="str">
        <x:v>MAT-CONS</x:v>
      </x:c>
      <x:c r="B30" t="str">
        <x:v>Material</x:v>
      </x:c>
      <x:c r="C30" t="str">
        <x:v>General Consumables</x:v>
      </x:c>
      <x:c r="D30" t="str">
        <x:v>lot</x:v>
      </x:c>
      <x:c r="E30" s="8" t="n">
        <x:v>25</x:v>
      </x:c>
      <x:c r="F30" s="8" t="n">
        <x:v>25</x:v>
      </x:c>
      <x:c r="G30" t="str">
        <x:v>UAT simulated consumables allowance</x:v>
      </x:c>
    </x:row>
    <x:row r="31">
      <x:c r="A31" t="str">
        <x:v>EQ-THERMAL</x:v>
      </x:c>
      <x:c r="B31" t="str">
        <x:v>Equipment</x:v>
      </x:c>
      <x:c r="C31" t="str">
        <x:v>Thermal Imaging Camera</x:v>
      </x:c>
      <x:c r="D31" t="str">
        <x:v>day</x:v>
      </x:c>
      <x:c r="E31" s="8" t="n">
        <x:v>120</x:v>
      </x:c>
      <x:c r="F31" s="8" t="n">
        <x:v>180</x:v>
      </x:c>
      <x:c r="G31" t="str">
        <x:v>Specialist test equipment</x:v>
      </x:c>
    </x:row>
    <x:row r="32">
      <x:c r="A32" t="str">
        <x:v>EQ-MEGGER</x:v>
      </x:c>
      <x:c r="B32" t="str">
        <x:v>Equipment</x:v>
      </x:c>
      <x:c r="C32" t="str">
        <x:v>Insulation Resistance Tester</x:v>
      </x:c>
      <x:c r="D32" t="str">
        <x:v>day</x:v>
      </x:c>
      <x:c r="E32" s="8" t="n">
        <x:v>80</x:v>
      </x:c>
      <x:c r="F32" s="8" t="n">
        <x:v>120</x:v>
      </x:c>
      <x:c r="G32" t="str">
        <x:v>Electrical test equipment</x:v>
      </x:c>
    </x:row>
    <x:row r="33">
      <x:c r="A33" t="str">
        <x:v>EQ-ALIGN</x:v>
      </x:c>
      <x:c r="B33" t="str">
        <x:v>Equipment</x:v>
      </x:c>
      <x:c r="C33" t="str">
        <x:v>Laser Alignment Equipment</x:v>
      </x:c>
      <x:c r="D33" t="str">
        <x:v>day</x:v>
      </x:c>
      <x:c r="E33" s="8" t="n">
        <x:v>180</x:v>
      </x:c>
      <x:c r="F33" s="8" t="n">
        <x:v>250</x:v>
      </x:c>
      <x:c r="G33" t="str">
        <x:v>Pump/motor alignment</x:v>
      </x:c>
    </x:row>
    <x:row r="34">
      <x:c r="A34" t="str">
        <x:v>EQ-LIFT</x:v>
      </x:c>
      <x:c r="B34" t="str">
        <x:v>Equipment</x:v>
      </x:c>
      <x:c r="C34" t="str">
        <x:v>Mobile Elevated Work Platform</x:v>
      </x:c>
      <x:c r="D34" t="str">
        <x:v>day</x:v>
      </x:c>
      <x:c r="E34" s="8" t="n">
        <x:v>350</x:v>
      </x:c>
      <x:c r="F34" s="8" t="n">
        <x:v>500</x:v>
      </x:c>
      <x:c r="G34" t="str">
        <x:v>Access equipment</x:v>
      </x:c>
    </x:row>
  </x:sheetData>
  <x:pageMargins left="0.7" right="0.7" top="0.75" bottom="0.75" header="0.3" footer="0.3"/>
  <x:tableParts count="1">
    <x:tablePart xmlns:r="http://schemas.openxmlformats.org/officeDocument/2006/relationships" r:id="R203eeac3d97345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25" hidden="0" customWidth="1"/>
    <x:col min="2" max="2" width="13.75" hidden="0" customWidth="1"/>
    <x:col min="3" max="3" width="16.75" hidden="0" customWidth="1"/>
    <x:col min="4" max="4" width="13.880000114440918" hidden="0" customWidth="1"/>
    <x:col min="5" max="5" width="11.630000114440918" hidden="0" customWidth="1"/>
    <x:col min="6" max="6" width="13.130000114440918" hidden="0" customWidth="1"/>
    <x:col min="7" max="7" width="13.630000114440918" hidden="0" customWidth="1"/>
    <x:col min="8" max="8" width="28" hidden="0" customWidth="1"/>
    <x:col min="9" max="9" width="28" hidden="0" customWidth="1"/>
    <x:col min="10" max="10" width="8" hidden="0" customWidth="1"/>
    <x:col min="11" max="11" width="20.75" hidden="0" customWidth="1"/>
    <x:col min="12" max="12" width="23.6299991607666" hidden="0" customWidth="1"/>
    <x:col min="13" max="13" width="18.8799991607666" hidden="0" customWidth="1"/>
  </x:cols>
  <x:sheetData>
    <x:row r="1">
      <x:c r="A1" s="4" t="str">
        <x:v>Contractor Name</x:v>
      </x:c>
      <x:c r="B1" s="4" t="str">
        <x:v>Contractor ID</x:v>
      </x:c>
      <x:c r="C1" s="4" t="str">
        <x:v>Rate Schedule Ref</x:v>
      </x:c>
      <x:c r="D1" s="4" t="str">
        <x:v>Effective From</x:v>
      </x:c>
      <x:c r="E1" s="4" t="str">
        <x:v>Effective To</x:v>
      </x:c>
      <x:c r="F1" s="4" t="str">
        <x:v>Rate Code</x:v>
      </x:c>
      <x:c r="G1" s="4" t="str">
        <x:v>Rate Category</x:v>
      </x:c>
      <x:c r="H1" s="4" t="str">
        <x:v>Item / Personnel Category</x:v>
      </x:c>
      <x:c r="I1" s="4" t="str">
        <x:v>Description</x:v>
      </x:c>
      <x:c r="J1" s="4" t="str">
        <x:v>Unit</x:v>
      </x:c>
      <x:c r="K1" s="4" t="str">
        <x:v>Agreed Unit Rate (SGD)</x:v>
      </x:c>
      <x:c r="L1" s="4" t="str">
        <x:v>Emergency Unit Rate (SGD)</x:v>
      </x:c>
      <x:c r="M1" s="4" t="str">
        <x:v>Remarks</x:v>
      </x:c>
    </x:row>
    <x:row r="2">
      <x:c r="A2" t="str">
        <x:v>UAT Specialist Contractor</x:v>
      </x:c>
      <x:c r="B2" t="str">
        <x:v>UAT-VENDOR-001</x:v>
      </x:c>
      <x:c r="C2" t="str">
        <x:v>UAT-RATES-2026</x:v>
      </x:c>
      <x:c r="D2" t="str">
        <x:v>2026-09-01</x:v>
      </x:c>
      <x:c r="E2" t="str">
        <x:v>2026-12-31</x:v>
      </x:c>
      <x:c r="F2" t="str">
        <x:v>LAB-GEN-TECH</x:v>
      </x:c>
      <x:c r="G2" t="str">
        <x:v>Labour</x:v>
      </x:c>
      <x:c r="H2" t="str">
        <x:v>General FM Technician</x:v>
      </x:c>
      <x:c r="I2" t="str">
        <x:v>General facilities maintenance</x:v>
      </x:c>
      <x:c r="J2" t="str">
        <x:v>man-hour</x:v>
      </x:c>
      <x:c r="K2" s="8" t="n">
        <x:v>45</x:v>
      </x:c>
      <x:c r="L2" s="8" t="n">
        <x:v>75</x:v>
      </x:c>
      <x:c r="M2" t="str">
        <x:v>SIMULATION / UAT ONLY</x:v>
      </x:c>
    </x:row>
    <x:row r="3">
      <x:c r="A3" t="str">
        <x:v>UAT Specialist Contractor</x:v>
      </x:c>
      <x:c r="B3" t="str">
        <x:v>UAT-VENDOR-001</x:v>
      </x:c>
      <x:c r="C3" t="str">
        <x:v>UAT-RATES-2026</x:v>
      </x:c>
      <x:c r="D3" t="str">
        <x:v>2026-09-01</x:v>
      </x:c>
      <x:c r="E3" t="str">
        <x:v>2026-12-31</x:v>
      </x:c>
      <x:c r="F3" t="str">
        <x:v>LAB-ELEC-TECH</x:v>
      </x:c>
      <x:c r="G3" t="str">
        <x:v>Labour</x:v>
      </x:c>
      <x:c r="H3" t="str">
        <x:v>Electrical Technician</x:v>
      </x:c>
      <x:c r="I3" t="str">
        <x:v>Electrical maintenance</x:v>
      </x:c>
      <x:c r="J3" t="str">
        <x:v>man-hour</x:v>
      </x:c>
      <x:c r="K3" s="8" t="n">
        <x:v>65</x:v>
      </x:c>
      <x:c r="L3" s="8" t="n">
        <x:v>100</x:v>
      </x:c>
      <x:c r="M3" t="str">
        <x:v>SIMULATION / UAT ONLY</x:v>
      </x:c>
    </x:row>
    <x:row r="4">
      <x:c r="A4" t="str">
        <x:v>UAT Specialist Contractor</x:v>
      </x:c>
      <x:c r="B4" t="str">
        <x:v>UAT-VENDOR-001</x:v>
      </x:c>
      <x:c r="C4" t="str">
        <x:v>UAT-RATES-2026</x:v>
      </x:c>
      <x:c r="D4" t="str">
        <x:v>2026-09-01</x:v>
      </x:c>
      <x:c r="E4" t="str">
        <x:v>2026-12-31</x:v>
      </x:c>
      <x:c r="F4" t="str">
        <x:v>LAB-ELEC-SR</x:v>
      </x:c>
      <x:c r="G4" t="str">
        <x:v>Labour</x:v>
      </x:c>
      <x:c r="H4" t="str">
        <x:v>Senior Electrical Technician</x:v>
      </x:c>
      <x:c r="I4" t="str">
        <x:v>Senior electrical / troubleshooting</x:v>
      </x:c>
      <x:c r="J4" t="str">
        <x:v>man-hour</x:v>
      </x:c>
      <x:c r="K4" s="8" t="n">
        <x:v>85</x:v>
      </x:c>
      <x:c r="L4" s="8" t="n">
        <x:v>130</x:v>
      </x:c>
      <x:c r="M4" t="str">
        <x:v>SIMULATION / UAT ONLY</x:v>
      </x:c>
    </x:row>
    <x:row r="5">
      <x:c r="A5" t="str">
        <x:v>UAT Specialist Contractor</x:v>
      </x:c>
      <x:c r="B5" t="str">
        <x:v>UAT-VENDOR-001</x:v>
      </x:c>
      <x:c r="C5" t="str">
        <x:v>UAT-RATES-2026</x:v>
      </x:c>
      <x:c r="D5" t="str">
        <x:v>2026-09-01</x:v>
      </x:c>
      <x:c r="E5" t="str">
        <x:v>2026-12-31</x:v>
      </x:c>
      <x:c r="F5" t="str">
        <x:v>LAB-MECH-TECH</x:v>
      </x:c>
      <x:c r="G5" t="str">
        <x:v>Labour</x:v>
      </x:c>
      <x:c r="H5" t="str">
        <x:v>Mechanical Technician</x:v>
      </x:c>
      <x:c r="I5" t="str">
        <x:v>Mechanical maintenance</x:v>
      </x:c>
      <x:c r="J5" t="str">
        <x:v>man-hour</x:v>
      </x:c>
      <x:c r="K5" s="8" t="n">
        <x:v>60</x:v>
      </x:c>
      <x:c r="L5" s="8" t="n">
        <x:v>95</x:v>
      </x:c>
      <x:c r="M5" t="str">
        <x:v>SIMULATION / UAT ONLY</x:v>
      </x:c>
    </x:row>
    <x:row r="6">
      <x:c r="A6" t="str">
        <x:v>UAT Specialist Contractor</x:v>
      </x:c>
      <x:c r="B6" t="str">
        <x:v>UAT-VENDOR-001</x:v>
      </x:c>
      <x:c r="C6" t="str">
        <x:v>UAT-RATES-2026</x:v>
      </x:c>
      <x:c r="D6" t="str">
        <x:v>2026-09-01</x:v>
      </x:c>
      <x:c r="E6" t="str">
        <x:v>2026-12-31</x:v>
      </x:c>
      <x:c r="F6" t="str">
        <x:v>LAB-HVAC-TECH</x:v>
      </x:c>
      <x:c r="G6" t="str">
        <x:v>Labour</x:v>
      </x:c>
      <x:c r="H6" t="str">
        <x:v>HVAC Technician</x:v>
      </x:c>
      <x:c r="I6" t="str">
        <x:v>HVAC maintenance</x:v>
      </x:c>
      <x:c r="J6" t="str">
        <x:v>man-hour</x:v>
      </x:c>
      <x:c r="K6" s="8" t="n">
        <x:v>65</x:v>
      </x:c>
      <x:c r="L6" s="8" t="n">
        <x:v>100</x:v>
      </x:c>
      <x:c r="M6" t="str">
        <x:v>SIMULATION / UAT ONLY</x:v>
      </x:c>
    </x:row>
    <x:row r="7">
      <x:c r="A7" t="str">
        <x:v>UAT Specialist Contractor</x:v>
      </x:c>
      <x:c r="B7" t="str">
        <x:v>UAT-VENDOR-001</x:v>
      </x:c>
      <x:c r="C7" t="str">
        <x:v>UAT-RATES-2026</x:v>
      </x:c>
      <x:c r="D7" t="str">
        <x:v>2026-09-01</x:v>
      </x:c>
      <x:c r="E7" t="str">
        <x:v>2026-12-31</x:v>
      </x:c>
      <x:c r="F7" t="str">
        <x:v>LAB-FIRE-ALARM</x:v>
      </x:c>
      <x:c r="G7" t="str">
        <x:v>Labour</x:v>
      </x:c>
      <x:c r="H7" t="str">
        <x:v>Fire Alarm Technician</x:v>
      </x:c>
      <x:c r="I7" t="str">
        <x:v>Fire alarm specialist</x:v>
      </x:c>
      <x:c r="J7" t="str">
        <x:v>man-hour</x:v>
      </x:c>
      <x:c r="K7" s="8" t="n">
        <x:v>75</x:v>
      </x:c>
      <x:c r="L7" s="8" t="n">
        <x:v>115</x:v>
      </x:c>
      <x:c r="M7" t="str">
        <x:v>SIMULATION / UAT ONLY</x:v>
      </x:c>
    </x:row>
    <x:row r="8">
      <x:c r="A8" t="str">
        <x:v>UAT Specialist Contractor</x:v>
      </x:c>
      <x:c r="B8" t="str">
        <x:v>UAT-VENDOR-001</x:v>
      </x:c>
      <x:c r="C8" t="str">
        <x:v>UAT-RATES-2026</x:v>
      </x:c>
      <x:c r="D8" t="str">
        <x:v>2026-09-01</x:v>
      </x:c>
      <x:c r="E8" t="str">
        <x:v>2026-12-31</x:v>
      </x:c>
      <x:c r="F8" t="str">
        <x:v>LAB-FIRE-PROT</x:v>
      </x:c>
      <x:c r="G8" t="str">
        <x:v>Labour</x:v>
      </x:c>
      <x:c r="H8" t="str">
        <x:v>Fire Protection Technician</x:v>
      </x:c>
      <x:c r="I8" t="str">
        <x:v>Fire protection systems</x:v>
      </x:c>
      <x:c r="J8" t="str">
        <x:v>man-hour</x:v>
      </x:c>
      <x:c r="K8" s="8" t="n">
        <x:v>70</x:v>
      </x:c>
      <x:c r="L8" s="8" t="n">
        <x:v>110</x:v>
      </x:c>
      <x:c r="M8" t="str">
        <x:v>SIMULATION / UAT ONLY</x:v>
      </x:c>
    </x:row>
    <x:row r="9">
      <x:c r="A9" t="str">
        <x:v>UAT Specialist Contractor</x:v>
      </x:c>
      <x:c r="B9" t="str">
        <x:v>UAT-VENDOR-001</x:v>
      </x:c>
      <x:c r="C9" t="str">
        <x:v>UAT-RATES-2026</x:v>
      </x:c>
      <x:c r="D9" t="str">
        <x:v>2026-09-01</x:v>
      </x:c>
      <x:c r="E9" t="str">
        <x:v>2026-12-31</x:v>
      </x:c>
      <x:c r="F9" t="str">
        <x:v>LAB-BMS</x:v>
      </x:c>
      <x:c r="G9" t="str">
        <x:v>Labour</x:v>
      </x:c>
      <x:c r="H9" t="str">
        <x:v>BMS / Controls Technician</x:v>
      </x:c>
      <x:c r="I9" t="str">
        <x:v>BMS and controls</x:v>
      </x:c>
      <x:c r="J9" t="str">
        <x:v>man-hour</x:v>
      </x:c>
      <x:c r="K9" s="8" t="n">
        <x:v>80</x:v>
      </x:c>
      <x:c r="L9" s="8" t="n">
        <x:v>125</x:v>
      </x:c>
      <x:c r="M9" t="str">
        <x:v>SIMULATION / UAT ONLY</x:v>
      </x:c>
    </x:row>
    <x:row r="10">
      <x:c r="A10" t="str">
        <x:v>UAT Specialist Contractor</x:v>
      </x:c>
      <x:c r="B10" t="str">
        <x:v>UAT-VENDOR-001</x:v>
      </x:c>
      <x:c r="C10" t="str">
        <x:v>UAT-RATES-2026</x:v>
      </x:c>
      <x:c r="D10" t="str">
        <x:v>2026-09-01</x:v>
      </x:c>
      <x:c r="E10" t="str">
        <x:v>2026-12-31</x:v>
      </x:c>
      <x:c r="F10" t="str">
        <x:v>LAB-ENG</x:v>
      </x:c>
      <x:c r="G10" t="str">
        <x:v>Labour</x:v>
      </x:c>
      <x:c r="H10" t="str">
        <x:v>Specialist Engineer</x:v>
      </x:c>
      <x:c r="I10" t="str">
        <x:v>Specialist engineering attendance</x:v>
      </x:c>
      <x:c r="J10" t="str">
        <x:v>man-hour</x:v>
      </x:c>
      <x:c r="K10" s="8" t="n">
        <x:v>120</x:v>
      </x:c>
      <x:c r="L10" s="8" t="n">
        <x:v>180</x:v>
      </x:c>
      <x:c r="M10" t="str">
        <x:v>SIMULATION / UAT ONLY</x:v>
      </x:c>
    </x:row>
    <x:row r="11">
      <x:c r="A11" t="str">
        <x:v>UAT Specialist Contractor</x:v>
      </x:c>
      <x:c r="B11" t="str">
        <x:v>UAT-VENDOR-001</x:v>
      </x:c>
      <x:c r="C11" t="str">
        <x:v>UAT-RATES-2026</x:v>
      </x:c>
      <x:c r="D11" t="str">
        <x:v>2026-09-01</x:v>
      </x:c>
      <x:c r="E11" t="str">
        <x:v>2026-12-31</x:v>
      </x:c>
      <x:c r="F11" t="str">
        <x:v>LAB-SUP</x:v>
      </x:c>
      <x:c r="G11" t="str">
        <x:v>Labour</x:v>
      </x:c>
      <x:c r="H11" t="str">
        <x:v>Supervisor / Testing Engineer</x:v>
      </x:c>
      <x:c r="I11" t="str">
        <x:v>Supervision, testing, commissioning</x:v>
      </x:c>
      <x:c r="J11" t="str">
        <x:v>man-hour</x:v>
      </x:c>
      <x:c r="K11" s="8" t="n">
        <x:v>95</x:v>
      </x:c>
      <x:c r="L11" s="8" t="n">
        <x:v>145</x:v>
      </x:c>
      <x:c r="M11" t="str">
        <x:v>SIMULATION / UAT ONLY</x:v>
      </x:c>
    </x:row>
    <x:row r="12">
      <x:c r="A12" t="str">
        <x:v>UAT Specialist Contractor</x:v>
      </x:c>
      <x:c r="B12" t="str">
        <x:v>UAT-VENDOR-001</x:v>
      </x:c>
      <x:c r="C12" t="str">
        <x:v>UAT-RATES-2026</x:v>
      </x:c>
      <x:c r="D12" t="str">
        <x:v>2026-09-01</x:v>
      </x:c>
      <x:c r="E12" t="str">
        <x:v>2026-12-31</x:v>
      </x:c>
      <x:c r="F12" t="str">
        <x:v>CALL-GEN</x:v>
      </x:c>
      <x:c r="G12" t="str">
        <x:v>Service</x:v>
      </x:c>
      <x:c r="H12" t="str">
        <x:v>General Contractor Call-out</x:v>
      </x:c>
      <x:c r="I12" t="str">
        <x:v>General attendance</x:v>
      </x:c>
      <x:c r="J12" t="str">
        <x:v>visit</x:v>
      </x:c>
      <x:c r="K12" s="8" t="n">
        <x:v>80</x:v>
      </x:c>
      <x:c r="L12" s="8" t="n">
        <x:v>150</x:v>
      </x:c>
      <x:c r="M12" t="str">
        <x:v>SIMULATION / UAT ONLY</x:v>
      </x:c>
    </x:row>
    <x:row r="13">
      <x:c r="A13" t="str">
        <x:v>UAT Specialist Contractor</x:v>
      </x:c>
      <x:c r="B13" t="str">
        <x:v>UAT-VENDOR-001</x:v>
      </x:c>
      <x:c r="C13" t="str">
        <x:v>UAT-RATES-2026</x:v>
      </x:c>
      <x:c r="D13" t="str">
        <x:v>2026-09-01</x:v>
      </x:c>
      <x:c r="E13" t="str">
        <x:v>2026-12-31</x:v>
      </x:c>
      <x:c r="F13" t="str">
        <x:v>CALL-SPEC</x:v>
      </x:c>
      <x:c r="G13" t="str">
        <x:v>Service</x:v>
      </x:c>
      <x:c r="H13" t="str">
        <x:v>Specialist Contractor Call-out</x:v>
      </x:c>
      <x:c r="I13" t="str">
        <x:v>Specialist attendance</x:v>
      </x:c>
      <x:c r="J13" t="str">
        <x:v>visit</x:v>
      </x:c>
      <x:c r="K13" s="8" t="n">
        <x:v>150</x:v>
      </x:c>
      <x:c r="L13" s="8" t="n">
        <x:v>250</x:v>
      </x:c>
      <x:c r="M13" t="str">
        <x:v>SIMULATION / UAT ONLY</x:v>
      </x:c>
    </x:row>
    <x:row r="14">
      <x:c r="A14" t="str">
        <x:v>UAT Specialist Contractor</x:v>
      </x:c>
      <x:c r="B14" t="str">
        <x:v>UAT-VENDOR-001</x:v>
      </x:c>
      <x:c r="C14" t="str">
        <x:v>UAT-RATES-2026</x:v>
      </x:c>
      <x:c r="D14" t="str">
        <x:v>2026-09-01</x:v>
      </x:c>
      <x:c r="E14" t="str">
        <x:v>2026-12-31</x:v>
      </x:c>
      <x:c r="F14" t="str">
        <x:v>CALL-OEM</x:v>
      </x:c>
      <x:c r="G14" t="str">
        <x:v>Service</x:v>
      </x:c>
      <x:c r="H14" t="str">
        <x:v>OEM / Major Equipment Attendance</x:v>
      </x:c>
      <x:c r="I14" t="str">
        <x:v>OEM/specialist major equipment</x:v>
      </x:c>
      <x:c r="J14" t="str">
        <x:v>visit</x:v>
      </x:c>
      <x:c r="K14" s="8" t="n">
        <x:v>250</x:v>
      </x:c>
      <x:c r="L14" s="8" t="n">
        <x:v>400</x:v>
      </x:c>
      <x:c r="M14" t="str">
        <x:v>SIMULATION / UAT ONLY</x:v>
      </x:c>
    </x:row>
    <x:row r="15">
      <x:c r="A15" t="str">
        <x:v>UAT Specialist Contractor</x:v>
      </x:c>
      <x:c r="B15" t="str">
        <x:v>UAT-VENDOR-001</x:v>
      </x:c>
      <x:c r="C15" t="str">
        <x:v>UAT-RATES-2026</x:v>
      </x:c>
      <x:c r="D15" t="str">
        <x:v>2026-09-01</x:v>
      </x:c>
      <x:c r="E15" t="str">
        <x:v>2026-12-31</x:v>
      </x:c>
      <x:c r="F15" t="str">
        <x:v>MOB-TRANS</x:v>
      </x:c>
      <x:c r="G15" t="str">
        <x:v>Service</x:v>
      </x:c>
      <x:c r="H15" t="str">
        <x:v>Transport / Mobilisation</x:v>
      </x:c>
      <x:c r="I15" t="str">
        <x:v>Transport and mobilisation</x:v>
      </x:c>
      <x:c r="J15" t="str">
        <x:v>trip</x:v>
      </x:c>
      <x:c r="K15" s="8" t="n">
        <x:v>50</x:v>
      </x:c>
      <x:c r="L15" s="8" t="n">
        <x:v>80</x:v>
      </x:c>
      <x:c r="M15" t="str">
        <x:v>SIMULATION / UAT ONLY</x:v>
      </x:c>
    </x:row>
    <x:row r="16">
      <x:c r="A16" t="str">
        <x:v>UAT Specialist Contractor</x:v>
      </x:c>
      <x:c r="B16" t="str">
        <x:v>UAT-VENDOR-001</x:v>
      </x:c>
      <x:c r="C16" t="str">
        <x:v>UAT-RATES-2026</x:v>
      </x:c>
      <x:c r="D16" t="str">
        <x:v>2026-09-01</x:v>
      </x:c>
      <x:c r="E16" t="str">
        <x:v>2026-12-31</x:v>
      </x:c>
      <x:c r="F16" t="str">
        <x:v>MAT-SMOKE</x:v>
      </x:c>
      <x:c r="G16" t="str">
        <x:v>Material</x:v>
      </x:c>
      <x:c r="H16" t="str">
        <x:v>Addressable Smoke Detector Head</x:v>
      </x:c>
      <x:c r="I16" t="str">
        <x:v>UAT simulated material rate</x:v>
      </x:c>
      <x:c r="J16" t="str">
        <x:v>no.</x:v>
      </x:c>
      <x:c r="K16" s="8" t="n">
        <x:v>185</x:v>
      </x:c>
      <x:c r="L16" s="8" t="n">
        <x:v>185</x:v>
      </x:c>
      <x:c r="M16" t="str">
        <x:v>SIMULATION / UAT ONLY</x:v>
      </x:c>
    </x:row>
    <x:row r="17">
      <x:c r="A17" t="str">
        <x:v>UAT Specialist Contractor</x:v>
      </x:c>
      <x:c r="B17" t="str">
        <x:v>UAT-VENDOR-001</x:v>
      </x:c>
      <x:c r="C17" t="str">
        <x:v>UAT-RATES-2026</x:v>
      </x:c>
      <x:c r="D17" t="str">
        <x:v>2026-09-01</x:v>
      </x:c>
      <x:c r="E17" t="str">
        <x:v>2026-12-31</x:v>
      </x:c>
      <x:c r="F17" t="str">
        <x:v>MAT-MODULE</x:v>
      </x:c>
      <x:c r="G17" t="str">
        <x:v>Material</x:v>
      </x:c>
      <x:c r="H17" t="str">
        <x:v>Fire Alarm Interface / Control Module</x:v>
      </x:c>
      <x:c r="I17" t="str">
        <x:v>UAT simulated material rate</x:v>
      </x:c>
      <x:c r="J17" t="str">
        <x:v>no.</x:v>
      </x:c>
      <x:c r="K17" s="8" t="n">
        <x:v>210</x:v>
      </x:c>
      <x:c r="L17" s="8" t="n">
        <x:v>210</x:v>
      </x:c>
      <x:c r="M17" t="str">
        <x:v>SIMULATION / UAT ONLY</x:v>
      </x:c>
    </x:row>
    <x:row r="18">
      <x:c r="A18" t="str">
        <x:v>UAT Specialist Contractor</x:v>
      </x:c>
      <x:c r="B18" t="str">
        <x:v>UAT-VENDOR-001</x:v>
      </x:c>
      <x:c r="C18" t="str">
        <x:v>UAT-RATES-2026</x:v>
      </x:c>
      <x:c r="D18" t="str">
        <x:v>2026-09-01</x:v>
      </x:c>
      <x:c r="E18" t="str">
        <x:v>2026-12-31</x:v>
      </x:c>
      <x:c r="F18" t="str">
        <x:v>MAT-MCB</x:v>
      </x:c>
      <x:c r="G18" t="str">
        <x:v>Material</x:v>
      </x:c>
      <x:c r="H18" t="str">
        <x:v>MCB 3P 32A</x:v>
      </x:c>
      <x:c r="I18" t="str">
        <x:v>UAT simulated material rate</x:v>
      </x:c>
      <x:c r="J18" t="str">
        <x:v>no.</x:v>
      </x:c>
      <x:c r="K18" s="8" t="n">
        <x:v>85</x:v>
      </x:c>
      <x:c r="L18" s="8" t="n">
        <x:v>85</x:v>
      </x:c>
      <x:c r="M18" t="str">
        <x:v>SIMULATION / UAT ONLY</x:v>
      </x:c>
    </x:row>
    <x:row r="19">
      <x:c r="A19" t="str">
        <x:v>UAT Specialist Contractor</x:v>
      </x:c>
      <x:c r="B19" t="str">
        <x:v>UAT-VENDOR-001</x:v>
      </x:c>
      <x:c r="C19" t="str">
        <x:v>UAT-RATES-2026</x:v>
      </x:c>
      <x:c r="D19" t="str">
        <x:v>2026-09-01</x:v>
      </x:c>
      <x:c r="E19" t="str">
        <x:v>2026-12-31</x:v>
      </x:c>
      <x:c r="F19" t="str">
        <x:v>MAT-CONTACT</x:v>
      </x:c>
      <x:c r="G19" t="str">
        <x:v>Material</x:v>
      </x:c>
      <x:c r="H19" t="str">
        <x:v>Contactor 3P 32A</x:v>
      </x:c>
      <x:c r="I19" t="str">
        <x:v>UAT simulated material rate</x:v>
      </x:c>
      <x:c r="J19" t="str">
        <x:v>no.</x:v>
      </x:c>
      <x:c r="K19" s="8" t="n">
        <x:v>145</x:v>
      </x:c>
      <x:c r="L19" s="8" t="n">
        <x:v>145</x:v>
      </x:c>
      <x:c r="M19" t="str">
        <x:v>SIMULATION / UAT ONLY</x:v>
      </x:c>
    </x:row>
    <x:row r="20">
      <x:c r="A20" t="str">
        <x:v>UAT Specialist Contractor</x:v>
      </x:c>
      <x:c r="B20" t="str">
        <x:v>UAT-VENDOR-001</x:v>
      </x:c>
      <x:c r="C20" t="str">
        <x:v>UAT-RATES-2026</x:v>
      </x:c>
      <x:c r="D20" t="str">
        <x:v>2026-09-01</x:v>
      </x:c>
      <x:c r="E20" t="str">
        <x:v>2026-12-31</x:v>
      </x:c>
      <x:c r="F20" t="str">
        <x:v>MAT-RELAY</x:v>
      </x:c>
      <x:c r="G20" t="str">
        <x:v>Material</x:v>
      </x:c>
      <x:c r="H20" t="str">
        <x:v>Control Relay</x:v>
      </x:c>
      <x:c r="I20" t="str">
        <x:v>UAT simulated material rate</x:v>
      </x:c>
      <x:c r="J20" t="str">
        <x:v>no.</x:v>
      </x:c>
      <x:c r="K20" s="8" t="n">
        <x:v>45</x:v>
      </x:c>
      <x:c r="L20" s="8" t="n">
        <x:v>45</x:v>
      </x:c>
      <x:c r="M20" t="str">
        <x:v>SIMULATION / UAT ONLY</x:v>
      </x:c>
    </x:row>
    <x:row r="21">
      <x:c r="A21" t="str">
        <x:v>UAT Specialist Contractor</x:v>
      </x:c>
      <x:c r="B21" t="str">
        <x:v>UAT-VENDOR-001</x:v>
      </x:c>
      <x:c r="C21" t="str">
        <x:v>UAT-RATES-2026</x:v>
      </x:c>
      <x:c r="D21" t="str">
        <x:v>2026-09-01</x:v>
      </x:c>
      <x:c r="E21" t="str">
        <x:v>2026-12-31</x:v>
      </x:c>
      <x:c r="F21" t="str">
        <x:v>MAT-FUSE</x:v>
      </x:c>
      <x:c r="G21" t="str">
        <x:v>Material</x:v>
      </x:c>
      <x:c r="H21" t="str">
        <x:v>Industrial Fuse</x:v>
      </x:c>
      <x:c r="I21" t="str">
        <x:v>UAT simulated material rate</x:v>
      </x:c>
      <x:c r="J21" t="str">
        <x:v>no.</x:v>
      </x:c>
      <x:c r="K21" s="8" t="n">
        <x:v>18</x:v>
      </x:c>
      <x:c r="L21" s="8" t="n">
        <x:v>18</x:v>
      </x:c>
      <x:c r="M21" t="str">
        <x:v>SIMULATION / UAT ONLY</x:v>
      </x:c>
    </x:row>
    <x:row r="22">
      <x:c r="A22" t="str">
        <x:v>UAT Specialist Contractor</x:v>
      </x:c>
      <x:c r="B22" t="str">
        <x:v>UAT-VENDOR-001</x:v>
      </x:c>
      <x:c r="C22" t="str">
        <x:v>UAT-RATES-2026</x:v>
      </x:c>
      <x:c r="D22" t="str">
        <x:v>2026-09-01</x:v>
      </x:c>
      <x:c r="E22" t="str">
        <x:v>2026-12-31</x:v>
      </x:c>
      <x:c r="F22" t="str">
        <x:v>MAT-CABLE</x:v>
      </x:c>
      <x:c r="G22" t="str">
        <x:v>Material</x:v>
      </x:c>
      <x:c r="H22" t="str">
        <x:v>Power / Control Cable</x:v>
      </x:c>
      <x:c r="I22" t="str">
        <x:v>UAT simulated material rate</x:v>
      </x:c>
      <x:c r="J22" t="str">
        <x:v>m</x:v>
      </x:c>
      <x:c r="K22" s="8" t="n">
        <x:v>12</x:v>
      </x:c>
      <x:c r="L22" s="8" t="n">
        <x:v>12</x:v>
      </x:c>
      <x:c r="M22" t="str">
        <x:v>SIMULATION / UAT ONLY</x:v>
      </x:c>
    </x:row>
    <x:row r="23">
      <x:c r="A23" t="str">
        <x:v>UAT Specialist Contractor</x:v>
      </x:c>
      <x:c r="B23" t="str">
        <x:v>UAT-VENDOR-001</x:v>
      </x:c>
      <x:c r="C23" t="str">
        <x:v>UAT-RATES-2026</x:v>
      </x:c>
      <x:c r="D23" t="str">
        <x:v>2026-09-01</x:v>
      </x:c>
      <x:c r="E23" t="str">
        <x:v>2026-12-31</x:v>
      </x:c>
      <x:c r="F23" t="str">
        <x:v>MAT-GLAND</x:v>
      </x:c>
      <x:c r="G23" t="str">
        <x:v>Material</x:v>
      </x:c>
      <x:c r="H23" t="str">
        <x:v>Cable Gland / Lug Set</x:v>
      </x:c>
      <x:c r="I23" t="str">
        <x:v>UAT simulated material rate</x:v>
      </x:c>
      <x:c r="J23" t="str">
        <x:v>set</x:v>
      </x:c>
      <x:c r="K23" s="8" t="n">
        <x:v>22</x:v>
      </x:c>
      <x:c r="L23" s="8" t="n">
        <x:v>22</x:v>
      </x:c>
      <x:c r="M23" t="str">
        <x:v>SIMULATION / UAT ONLY</x:v>
      </x:c>
    </x:row>
    <x:row r="24">
      <x:c r="A24" t="str">
        <x:v>UAT Specialist Contractor</x:v>
      </x:c>
      <x:c r="B24" t="str">
        <x:v>UAT-VENDOR-001</x:v>
      </x:c>
      <x:c r="C24" t="str">
        <x:v>UAT-RATES-2026</x:v>
      </x:c>
      <x:c r="D24" t="str">
        <x:v>2026-09-01</x:v>
      </x:c>
      <x:c r="E24" t="str">
        <x:v>2026-12-31</x:v>
      </x:c>
      <x:c r="F24" t="str">
        <x:v>MAT-BEARING</x:v>
      </x:c>
      <x:c r="G24" t="str">
        <x:v>Material</x:v>
      </x:c>
      <x:c r="H24" t="str">
        <x:v>Pump / Motor Bearing</x:v>
      </x:c>
      <x:c r="I24" t="str">
        <x:v>UAT simulated material rate</x:v>
      </x:c>
      <x:c r="J24" t="str">
        <x:v>no.</x:v>
      </x:c>
      <x:c r="K24" s="8" t="n">
        <x:v>160</x:v>
      </x:c>
      <x:c r="L24" s="8" t="n">
        <x:v>160</x:v>
      </x:c>
      <x:c r="M24" t="str">
        <x:v>SIMULATION / UAT ONLY</x:v>
      </x:c>
    </x:row>
    <x:row r="25">
      <x:c r="A25" t="str">
        <x:v>UAT Specialist Contractor</x:v>
      </x:c>
      <x:c r="B25" t="str">
        <x:v>UAT-VENDOR-001</x:v>
      </x:c>
      <x:c r="C25" t="str">
        <x:v>UAT-RATES-2026</x:v>
      </x:c>
      <x:c r="D25" t="str">
        <x:v>2026-09-01</x:v>
      </x:c>
      <x:c r="E25" t="str">
        <x:v>2026-12-31</x:v>
      </x:c>
      <x:c r="F25" t="str">
        <x:v>MAT-VBELT</x:v>
      </x:c>
      <x:c r="G25" t="str">
        <x:v>Material</x:v>
      </x:c>
      <x:c r="H25" t="str">
        <x:v>AHU V-Belt</x:v>
      </x:c>
      <x:c r="I25" t="str">
        <x:v>UAT simulated material rate</x:v>
      </x:c>
      <x:c r="J25" t="str">
        <x:v>no.</x:v>
      </x:c>
      <x:c r="K25" s="8" t="n">
        <x:v>55</x:v>
      </x:c>
      <x:c r="L25" s="8" t="n">
        <x:v>55</x:v>
      </x:c>
      <x:c r="M25" t="str">
        <x:v>SIMULATION / UAT ONLY</x:v>
      </x:c>
    </x:row>
    <x:row r="26">
      <x:c r="A26" t="str">
        <x:v>UAT Specialist Contractor</x:v>
      </x:c>
      <x:c r="B26" t="str">
        <x:v>UAT-VENDOR-001</x:v>
      </x:c>
      <x:c r="C26" t="str">
        <x:v>UAT-RATES-2026</x:v>
      </x:c>
      <x:c r="D26" t="str">
        <x:v>2026-09-01</x:v>
      </x:c>
      <x:c r="E26" t="str">
        <x:v>2026-12-31</x:v>
      </x:c>
      <x:c r="F26" t="str">
        <x:v>MAT-FILTER</x:v>
      </x:c>
      <x:c r="G26" t="str">
        <x:v>Material</x:v>
      </x:c>
      <x:c r="H26" t="str">
        <x:v>AHU Filter Set</x:v>
      </x:c>
      <x:c r="I26" t="str">
        <x:v>UAT simulated material rate</x:v>
      </x:c>
      <x:c r="J26" t="str">
        <x:v>set</x:v>
      </x:c>
      <x:c r="K26" s="8" t="n">
        <x:v>120</x:v>
      </x:c>
      <x:c r="L26" s="8" t="n">
        <x:v>120</x:v>
      </x:c>
      <x:c r="M26" t="str">
        <x:v>SIMULATION / UAT ONLY</x:v>
      </x:c>
    </x:row>
    <x:row r="27">
      <x:c r="A27" t="str">
        <x:v>UAT Specialist Contractor</x:v>
      </x:c>
      <x:c r="B27" t="str">
        <x:v>UAT-VENDOR-001</x:v>
      </x:c>
      <x:c r="C27" t="str">
        <x:v>UAT-RATES-2026</x:v>
      </x:c>
      <x:c r="D27" t="str">
        <x:v>2026-09-01</x:v>
      </x:c>
      <x:c r="E27" t="str">
        <x:v>2026-12-31</x:v>
      </x:c>
      <x:c r="F27" t="str">
        <x:v>MAT-SEAL</x:v>
      </x:c>
      <x:c r="G27" t="str">
        <x:v>Material</x:v>
      </x:c>
      <x:c r="H27" t="str">
        <x:v>Mechanical Seal Kit</x:v>
      </x:c>
      <x:c r="I27" t="str">
        <x:v>UAT simulated material rate</x:v>
      </x:c>
      <x:c r="J27" t="str">
        <x:v>set</x:v>
      </x:c>
      <x:c r="K27" s="8" t="n">
        <x:v>280</x:v>
      </x:c>
      <x:c r="L27" s="8" t="n">
        <x:v>280</x:v>
      </x:c>
      <x:c r="M27" t="str">
        <x:v>SIMULATION / UAT ONLY</x:v>
      </x:c>
    </x:row>
    <x:row r="28">
      <x:c r="A28" t="str">
        <x:v>UAT Specialist Contractor</x:v>
      </x:c>
      <x:c r="B28" t="str">
        <x:v>UAT-VENDOR-001</x:v>
      </x:c>
      <x:c r="C28" t="str">
        <x:v>UAT-RATES-2026</x:v>
      </x:c>
      <x:c r="D28" t="str">
        <x:v>2026-09-01</x:v>
      </x:c>
      <x:c r="E28" t="str">
        <x:v>2026-12-31</x:v>
      </x:c>
      <x:c r="F28" t="str">
        <x:v>MAT-VALVE</x:v>
      </x:c>
      <x:c r="G28" t="str">
        <x:v>Material</x:v>
      </x:c>
      <x:c r="H28" t="str">
        <x:v>Small Isolation Valve</x:v>
      </x:c>
      <x:c r="I28" t="str">
        <x:v>UAT simulated material rate</x:v>
      </x:c>
      <x:c r="J28" t="str">
        <x:v>no.</x:v>
      </x:c>
      <x:c r="K28" s="8" t="n">
        <x:v>95</x:v>
      </x:c>
      <x:c r="L28" s="8" t="n">
        <x:v>95</x:v>
      </x:c>
      <x:c r="M28" t="str">
        <x:v>SIMULATION / UAT ONLY</x:v>
      </x:c>
    </x:row>
    <x:row r="29">
      <x:c r="A29" t="str">
        <x:v>UAT Specialist Contractor</x:v>
      </x:c>
      <x:c r="B29" t="str">
        <x:v>UAT-VENDOR-001</x:v>
      </x:c>
      <x:c r="C29" t="str">
        <x:v>UAT-RATES-2026</x:v>
      </x:c>
      <x:c r="D29" t="str">
        <x:v>2026-09-01</x:v>
      </x:c>
      <x:c r="E29" t="str">
        <x:v>2026-12-31</x:v>
      </x:c>
      <x:c r="F29" t="str">
        <x:v>MAT-GASKET</x:v>
      </x:c>
      <x:c r="G29" t="str">
        <x:v>Material</x:v>
      </x:c>
      <x:c r="H29" t="str">
        <x:v>Gasket / Seal Set</x:v>
      </x:c>
      <x:c r="I29" t="str">
        <x:v>UAT simulated material rate</x:v>
      </x:c>
      <x:c r="J29" t="str">
        <x:v>set</x:v>
      </x:c>
      <x:c r="K29" s="8" t="n">
        <x:v>35</x:v>
      </x:c>
      <x:c r="L29" s="8" t="n">
        <x:v>35</x:v>
      </x:c>
      <x:c r="M29" t="str">
        <x:v>SIMULATION / UAT ONLY</x:v>
      </x:c>
    </x:row>
    <x:row r="30">
      <x:c r="A30" t="str">
        <x:v>UAT Specialist Contractor</x:v>
      </x:c>
      <x:c r="B30" t="str">
        <x:v>UAT-VENDOR-001</x:v>
      </x:c>
      <x:c r="C30" t="str">
        <x:v>UAT-RATES-2026</x:v>
      </x:c>
      <x:c r="D30" t="str">
        <x:v>2026-09-01</x:v>
      </x:c>
      <x:c r="E30" t="str">
        <x:v>2026-12-31</x:v>
      </x:c>
      <x:c r="F30" t="str">
        <x:v>MAT-CONS</x:v>
      </x:c>
      <x:c r="G30" t="str">
        <x:v>Material</x:v>
      </x:c>
      <x:c r="H30" t="str">
        <x:v>General Consumables</x:v>
      </x:c>
      <x:c r="I30" t="str">
        <x:v>UAT simulated consumables allowance</x:v>
      </x:c>
      <x:c r="J30" t="str">
        <x:v>lot</x:v>
      </x:c>
      <x:c r="K30" s="8" t="n">
        <x:v>25</x:v>
      </x:c>
      <x:c r="L30" s="8" t="n">
        <x:v>25</x:v>
      </x:c>
      <x:c r="M30" t="str">
        <x:v>SIMULATION / UAT ONLY</x:v>
      </x:c>
    </x:row>
    <x:row r="31">
      <x:c r="A31" t="str">
        <x:v>UAT Specialist Contractor</x:v>
      </x:c>
      <x:c r="B31" t="str">
        <x:v>UAT-VENDOR-001</x:v>
      </x:c>
      <x:c r="C31" t="str">
        <x:v>UAT-RATES-2026</x:v>
      </x:c>
      <x:c r="D31" t="str">
        <x:v>2026-09-01</x:v>
      </x:c>
      <x:c r="E31" t="str">
        <x:v>2026-12-31</x:v>
      </x:c>
      <x:c r="F31" t="str">
        <x:v>EQ-THERMAL</x:v>
      </x:c>
      <x:c r="G31" t="str">
        <x:v>Equipment</x:v>
      </x:c>
      <x:c r="H31" t="str">
        <x:v>Thermal Imaging Camera</x:v>
      </x:c>
      <x:c r="I31" t="str">
        <x:v>Specialist test equipment</x:v>
      </x:c>
      <x:c r="J31" t="str">
        <x:v>day</x:v>
      </x:c>
      <x:c r="K31" s="8" t="n">
        <x:v>120</x:v>
      </x:c>
      <x:c r="L31" s="8" t="n">
        <x:v>180</x:v>
      </x:c>
      <x:c r="M31" t="str">
        <x:v>SIMULATION / UAT ONLY</x:v>
      </x:c>
    </x:row>
    <x:row r="32">
      <x:c r="A32" t="str">
        <x:v>UAT Specialist Contractor</x:v>
      </x:c>
      <x:c r="B32" t="str">
        <x:v>UAT-VENDOR-001</x:v>
      </x:c>
      <x:c r="C32" t="str">
        <x:v>UAT-RATES-2026</x:v>
      </x:c>
      <x:c r="D32" t="str">
        <x:v>2026-09-01</x:v>
      </x:c>
      <x:c r="E32" t="str">
        <x:v>2026-12-31</x:v>
      </x:c>
      <x:c r="F32" t="str">
        <x:v>EQ-MEGGER</x:v>
      </x:c>
      <x:c r="G32" t="str">
        <x:v>Equipment</x:v>
      </x:c>
      <x:c r="H32" t="str">
        <x:v>Insulation Resistance Tester</x:v>
      </x:c>
      <x:c r="I32" t="str">
        <x:v>Electrical test equipment</x:v>
      </x:c>
      <x:c r="J32" t="str">
        <x:v>day</x:v>
      </x:c>
      <x:c r="K32" s="8" t="n">
        <x:v>80</x:v>
      </x:c>
      <x:c r="L32" s="8" t="n">
        <x:v>120</x:v>
      </x:c>
      <x:c r="M32" t="str">
        <x:v>SIMULATION / UAT ONLY</x:v>
      </x:c>
    </x:row>
    <x:row r="33">
      <x:c r="A33" t="str">
        <x:v>UAT Specialist Contractor</x:v>
      </x:c>
      <x:c r="B33" t="str">
        <x:v>UAT-VENDOR-001</x:v>
      </x:c>
      <x:c r="C33" t="str">
        <x:v>UAT-RATES-2026</x:v>
      </x:c>
      <x:c r="D33" t="str">
        <x:v>2026-09-01</x:v>
      </x:c>
      <x:c r="E33" t="str">
        <x:v>2026-12-31</x:v>
      </x:c>
      <x:c r="F33" t="str">
        <x:v>EQ-ALIGN</x:v>
      </x:c>
      <x:c r="G33" t="str">
        <x:v>Equipment</x:v>
      </x:c>
      <x:c r="H33" t="str">
        <x:v>Laser Alignment Equipment</x:v>
      </x:c>
      <x:c r="I33" t="str">
        <x:v>Pump/motor alignment</x:v>
      </x:c>
      <x:c r="J33" t="str">
        <x:v>day</x:v>
      </x:c>
      <x:c r="K33" s="8" t="n">
        <x:v>180</x:v>
      </x:c>
      <x:c r="L33" s="8" t="n">
        <x:v>250</x:v>
      </x:c>
      <x:c r="M33" t="str">
        <x:v>SIMULATION / UAT ONLY</x:v>
      </x:c>
    </x:row>
    <x:row r="34">
      <x:c r="A34" t="str">
        <x:v>UAT Specialist Contractor</x:v>
      </x:c>
      <x:c r="B34" t="str">
        <x:v>UAT-VENDOR-001</x:v>
      </x:c>
      <x:c r="C34" t="str">
        <x:v>UAT-RATES-2026</x:v>
      </x:c>
      <x:c r="D34" t="str">
        <x:v>2026-09-01</x:v>
      </x:c>
      <x:c r="E34" t="str">
        <x:v>2026-12-31</x:v>
      </x:c>
      <x:c r="F34" t="str">
        <x:v>EQ-LIFT</x:v>
      </x:c>
      <x:c r="G34" t="str">
        <x:v>Equipment</x:v>
      </x:c>
      <x:c r="H34" t="str">
        <x:v>Mobile Elevated Work Platform</x:v>
      </x:c>
      <x:c r="I34" t="str">
        <x:v>Access equipment</x:v>
      </x:c>
      <x:c r="J34" t="str">
        <x:v>day</x:v>
      </x:c>
      <x:c r="K34" s="8" t="n">
        <x:v>350</x:v>
      </x:c>
      <x:c r="L34" s="8" t="n">
        <x:v>500</x:v>
      </x:c>
      <x:c r="M34" t="str">
        <x:v>SIMULATION / UAT ONLY</x:v>
      </x:c>
    </x:row>
  </x:sheetData>
  <x:pageMargins left="0.7" right="0.7" top="0.75" bottom="0.75" header="0.3" footer="0.3"/>
  <x:tableParts count="1">
    <x:tablePart xmlns:r="http://schemas.openxmlformats.org/officeDocument/2006/relationships" r:id="R5574af86ec6e42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28" hidden="0" customWidth="1"/>
    <x:col min="3" max="3" width="13.5" hidden="0" customWidth="1"/>
    <x:col min="4" max="4" width="13.130000114440918" hidden="0" customWidth="1"/>
    <x:col min="5" max="5" width="30" hidden="0" customWidth="1"/>
    <x:col min="6" max="6" width="8" hidden="0" customWidth="1"/>
    <x:col min="7" max="7" width="17.1299991607666" hidden="0" customWidth="1"/>
    <x:col min="8" max="8" width="18.1299991607666" hidden="0" customWidth="1"/>
    <x:col min="9" max="9" width="20.1299991607666" hidden="0" customWidth="1"/>
    <x:col min="10" max="10" width="15.130000114440918" hidden="0" customWidth="1"/>
    <x:col min="11" max="11" width="24.25" hidden="0" customWidth="1"/>
  </x:cols>
  <x:sheetData>
    <x:row r="1">
      <x:c r="A1" s="4" t="str">
        <x:v>Work Order No.</x:v>
      </x:c>
      <x:c r="B1" s="4" t="str">
        <x:v>Scenario</x:v>
      </x:c>
      <x:c r="C1" s="4" t="str">
        <x:v>Cost Category</x:v>
      </x:c>
      <x:c r="D1" s="4" t="str">
        <x:v>Rate Code</x:v>
      </x:c>
      <x:c r="E1" s="4" t="str">
        <x:v>Description</x:v>
      </x:c>
      <x:c r="F1" s="4" t="str">
        <x:v>Unit</x:v>
      </x:c>
      <x:c r="G1" s="4" t="str">
        <x:v>Agreed Rate (SGD)</x:v>
      </x:c>
      <x:c r="H1" s="4" t="str">
        <x:v>Quoted Qty / Hours</x:v>
      </x:c>
      <x:c r="I1" s="4" t="str">
        <x:v>Quoted Amount (SGD)</x:v>
      </x:c>
      <x:c r="J1" s="4" t="str">
        <x:v>Rate Exception?</x:v>
      </x:c>
      <x:c r="K1" s="4" t="str">
        <x:v>Remarks</x:v>
      </x:c>
    </x:row>
    <x:row r="2">
      <x:c r="A2" t="str">
        <x:v>WO-TEST-004</x:v>
      </x:c>
      <x:c r="B2" t="str">
        <x:v>Fire Alarm Loop Fault</x:v>
      </x:c>
      <x:c r="C2" t="str">
        <x:v>Service</x:v>
      </x:c>
      <x:c r="D2" t="str">
        <x:v>CALL-SPEC</x:v>
      </x:c>
      <x:c r="E2" t="str">
        <x:v>Specialist Contractor Call-out</x:v>
      </x:c>
      <x:c r="F2" t="str">
        <x:v>visit</x:v>
      </x:c>
      <x:c r="G2" s="8" t="n">
        <x:v>150</x:v>
      </x:c>
      <x:c r="H2" s="8" t="n">
        <x:v>1</x:v>
      </x:c>
      <x:c r="I2" s="8" t="n">
        <x:f>G2*H2</x:f>
        <x:v>150</x:v>
      </x:c>
      <x:c r="J2" t="str">
        <x:v>N</x:v>
      </x:c>
      <x:c r="K2" t="str">
        <x:v>Pre-work attendance</x:v>
      </x:c>
    </x:row>
    <x:row r="3">
      <x:c r="A3" t="str">
        <x:v>WO-TEST-004</x:v>
      </x:c>
      <x:c r="B3" t="str">
        <x:v>Fire Alarm Loop Fault</x:v>
      </x:c>
      <x:c r="C3" t="str">
        <x:v>Labour</x:v>
      </x:c>
      <x:c r="D3" t="str">
        <x:v>LAB-FIRE-ALARM</x:v>
      </x:c>
      <x:c r="E3" t="str">
        <x:v>Fire Alarm Technician</x:v>
      </x:c>
      <x:c r="F3" t="str">
        <x:v>man-hour</x:v>
      </x:c>
      <x:c r="G3" s="8" t="n">
        <x:v>75</x:v>
      </x:c>
      <x:c r="H3" s="8" t="n">
        <x:v>2</x:v>
      </x:c>
      <x:c r="I3" s="8" t="n">
        <x:f>G3*H3</x:f>
        <x:v>150</x:v>
      </x:c>
      <x:c r="J3" t="str">
        <x:v>N</x:v>
      </x:c>
      <x:c r="K3" t="str">
        <x:v>Diagnosis and replacement</x:v>
      </x:c>
    </x:row>
    <x:row r="4">
      <x:c r="A4" t="str">
        <x:v>WO-TEST-004</x:v>
      </x:c>
      <x:c r="B4" t="str">
        <x:v>Fire Alarm Loop Fault</x:v>
      </x:c>
      <x:c r="C4" t="str">
        <x:v>Material</x:v>
      </x:c>
      <x:c r="D4" t="str">
        <x:v>MAT-SMOKE</x:v>
      </x:c>
      <x:c r="E4" t="str">
        <x:v>Addressable Smoke Detector Head</x:v>
      </x:c>
      <x:c r="F4" t="str">
        <x:v>no.</x:v>
      </x:c>
      <x:c r="G4" s="8" t="n">
        <x:v>185</x:v>
      </x:c>
      <x:c r="H4" s="8" t="n">
        <x:v>1</x:v>
      </x:c>
      <x:c r="I4" s="8" t="n">
        <x:f>G4*H4</x:f>
        <x:v>185</x:v>
      </x:c>
      <x:c r="J4" t="str">
        <x:v>N</x:v>
      </x:c>
      <x:c r="K4" t="str">
        <x:v>Replacement detector</x:v>
      </x:c>
    </x:row>
    <x:row r="5">
      <x:c r="A5" t="str">
        <x:v>WO-TEST-004</x:v>
      </x:c>
      <x:c r="B5" t="str">
        <x:v>Fire Alarm Loop Fault</x:v>
      </x:c>
      <x:c r="C5" t="str">
        <x:v>Material</x:v>
      </x:c>
      <x:c r="D5" t="str">
        <x:v>MAT-CONS</x:v>
      </x:c>
      <x:c r="E5" t="str">
        <x:v>General Consumables</x:v>
      </x:c>
      <x:c r="F5" t="str">
        <x:v>lot</x:v>
      </x:c>
      <x:c r="G5" s="8" t="n">
        <x:v>25</x:v>
      </x:c>
      <x:c r="H5" s="8" t="n">
        <x:v>1</x:v>
      </x:c>
      <x:c r="I5" s="8" t="n">
        <x:f>G5*H5</x:f>
        <x:v>25</x:v>
      </x:c>
      <x:c r="J5" t="str">
        <x:v>N</x:v>
      </x:c>
      <x:c r="K5" t="str">
        <x:v>Terminations/labels</x:v>
      </x:c>
    </x:row>
    <x:row r="6">
      <x:c r="A6" t="str">
        <x:v>WO-TEST-001</x:v>
      </x:c>
      <x:c r="B6" t="str">
        <x:v>Chilled Water Pump Failure</x:v>
      </x:c>
      <x:c r="C6" t="str">
        <x:v>Service</x:v>
      </x:c>
      <x:c r="D6" t="str">
        <x:v>CALL-SPEC</x:v>
      </x:c>
      <x:c r="E6" t="str">
        <x:v>Specialist Contractor Call-out</x:v>
      </x:c>
      <x:c r="F6" t="str">
        <x:v>visit</x:v>
      </x:c>
      <x:c r="G6" s="8" t="n">
        <x:v>150</x:v>
      </x:c>
      <x:c r="H6" s="8" t="n">
        <x:v>1</x:v>
      </x:c>
      <x:c r="I6" s="8" t="n">
        <x:f>G6*H6</x:f>
        <x:v>150</x:v>
      </x:c>
      <x:c r="J6" t="str">
        <x:v>N</x:v>
      </x:c>
      <x:c r="K6" t="str">
        <x:v>Mechanical attendance</x:v>
      </x:c>
    </x:row>
    <x:row r="7">
      <x:c r="A7" t="str">
        <x:v>WO-TEST-001</x:v>
      </x:c>
      <x:c r="B7" t="str">
        <x:v>Chilled Water Pump Failure</x:v>
      </x:c>
      <x:c r="C7" t="str">
        <x:v>Labour</x:v>
      </x:c>
      <x:c r="D7" t="str">
        <x:v>LAB-MECH-TECH</x:v>
      </x:c>
      <x:c r="E7" t="str">
        <x:v>Mechanical Technician</x:v>
      </x:c>
      <x:c r="F7" t="str">
        <x:v>man-hour</x:v>
      </x:c>
      <x:c r="G7" s="8" t="n">
        <x:v>60</x:v>
      </x:c>
      <x:c r="H7" s="8" t="n">
        <x:v>4</x:v>
      </x:c>
      <x:c r="I7" s="8" t="n">
        <x:f>G7*H7</x:f>
        <x:v>240</x:v>
      </x:c>
      <x:c r="J7" t="str">
        <x:v>N</x:v>
      </x:c>
      <x:c r="K7" t="str">
        <x:v>Inspection and repair</x:v>
      </x:c>
    </x:row>
    <x:row r="8">
      <x:c r="A8" t="str">
        <x:v>WO-TEST-001</x:v>
      </x:c>
      <x:c r="B8" t="str">
        <x:v>Chilled Water Pump Failure</x:v>
      </x:c>
      <x:c r="C8" t="str">
        <x:v>Material</x:v>
      </x:c>
      <x:c r="D8" t="str">
        <x:v>MAT-BEARING</x:v>
      </x:c>
      <x:c r="E8" t="str">
        <x:v>Pump / Motor Bearing</x:v>
      </x:c>
      <x:c r="F8" t="str">
        <x:v>no.</x:v>
      </x:c>
      <x:c r="G8" s="8" t="n">
        <x:v>160</x:v>
      </x:c>
      <x:c r="H8" s="8" t="n">
        <x:v>2</x:v>
      </x:c>
      <x:c r="I8" s="8" t="n">
        <x:f>G8*H8</x:f>
        <x:v>320</x:v>
      </x:c>
      <x:c r="J8" t="str">
        <x:v>N</x:v>
      </x:c>
      <x:c r="K8" t="str">
        <x:v>Bearing replacement</x:v>
      </x:c>
    </x:row>
    <x:row r="9">
      <x:c r="A9" t="str">
        <x:v>WO-TEST-001</x:v>
      </x:c>
      <x:c r="B9" t="str">
        <x:v>Chilled Water Pump Failure</x:v>
      </x:c>
      <x:c r="C9" t="str">
        <x:v>Equipment</x:v>
      </x:c>
      <x:c r="D9" t="str">
        <x:v>EQ-ALIGN</x:v>
      </x:c>
      <x:c r="E9" t="str">
        <x:v>Laser Alignment Equipment</x:v>
      </x:c>
      <x:c r="F9" t="str">
        <x:v>day</x:v>
      </x:c>
      <x:c r="G9" s="8" t="n">
        <x:v>180</x:v>
      </x:c>
      <x:c r="H9" s="8" t="n">
        <x:v>1</x:v>
      </x:c>
      <x:c r="I9" s="8" t="n">
        <x:f>G9*H9</x:f>
        <x:v>180</x:v>
      </x:c>
      <x:c r="J9" t="str">
        <x:v>N</x:v>
      </x:c>
      <x:c r="K9" t="str">
        <x:v>Post-repair alignment</x:v>
      </x:c>
    </x:row>
    <x:row r="10">
      <x:c r="A10" t="str">
        <x:v>WO-TEST-002</x:v>
      </x:c>
      <x:c r="B10" t="str">
        <x:v>AHU Preventive Maintenance</x:v>
      </x:c>
      <x:c r="C10" t="str">
        <x:v>Labour</x:v>
      </x:c>
      <x:c r="D10" t="str">
        <x:v>LAB-HVAC-TECH</x:v>
      </x:c>
      <x:c r="E10" t="str">
        <x:v>HVAC Technician</x:v>
      </x:c>
      <x:c r="F10" t="str">
        <x:v>man-hour</x:v>
      </x:c>
      <x:c r="G10" s="8" t="n">
        <x:v>65</x:v>
      </x:c>
      <x:c r="H10" s="8" t="n">
        <x:v>2</x:v>
      </x:c>
      <x:c r="I10" s="8" t="n">
        <x:f>G10*H10</x:f>
        <x:v>130</x:v>
      </x:c>
      <x:c r="J10" t="str">
        <x:v>N</x:v>
      </x:c>
      <x:c r="K10" t="str">
        <x:v>Quarterly servicing</x:v>
      </x:c>
    </x:row>
    <x:row r="11">
      <x:c r="A11" t="str">
        <x:v>WO-TEST-002</x:v>
      </x:c>
      <x:c r="B11" t="str">
        <x:v>AHU Preventive Maintenance</x:v>
      </x:c>
      <x:c r="C11" t="str">
        <x:v>Material</x:v>
      </x:c>
      <x:c r="D11" t="str">
        <x:v>MAT-FILTER</x:v>
      </x:c>
      <x:c r="E11" t="str">
        <x:v>AHU Filter Set</x:v>
      </x:c>
      <x:c r="F11" t="str">
        <x:v>set</x:v>
      </x:c>
      <x:c r="G11" s="8" t="n">
        <x:v>120</x:v>
      </x:c>
      <x:c r="H11" s="8" t="n">
        <x:v>1</x:v>
      </x:c>
      <x:c r="I11" s="8" t="n">
        <x:f>G11*H11</x:f>
        <x:v>120</x:v>
      </x:c>
      <x:c r="J11" t="str">
        <x:v>N</x:v>
      </x:c>
      <x:c r="K11" t="str">
        <x:v>Filter replacement</x:v>
      </x:c>
    </x:row>
    <x:row r="12">
      <x:c r="A12" t="str">
        <x:v>WO-TEST-002</x:v>
      </x:c>
      <x:c r="B12" t="str">
        <x:v>AHU Preventive Maintenance</x:v>
      </x:c>
      <x:c r="C12" t="str">
        <x:v>Material</x:v>
      </x:c>
      <x:c r="D12" t="str">
        <x:v>MAT-VBELT</x:v>
      </x:c>
      <x:c r="E12" t="str">
        <x:v>AHU V-Belt</x:v>
      </x:c>
      <x:c r="F12" t="str">
        <x:v>no.</x:v>
      </x:c>
      <x:c r="G12" s="8" t="n">
        <x:v>55</x:v>
      </x:c>
      <x:c r="H12" s="8" t="n">
        <x:v>1</x:v>
      </x:c>
      <x:c r="I12" s="8" t="n">
        <x:f>G12*H12</x:f>
        <x:v>55</x:v>
      </x:c>
      <x:c r="J12" t="str">
        <x:v>N</x:v>
      </x:c>
      <x:c r="K12" t="str">
        <x:v>Replace if worn</x:v>
      </x:c>
    </x:row>
    <x:row r="13">
      <x:c r="A13" t="str">
        <x:v>WO-TEST-003</x:v>
      </x:c>
      <x:c r="B13" t="str">
        <x:v>DB Hot Spot</x:v>
      </x:c>
      <x:c r="C13" t="str">
        <x:v>Labour</x:v>
      </x:c>
      <x:c r="D13" t="str">
        <x:v>LAB-ELEC-SR</x:v>
      </x:c>
      <x:c r="E13" t="str">
        <x:v>Senior Electrical Technician</x:v>
      </x:c>
      <x:c r="F13" t="str">
        <x:v>man-hour</x:v>
      </x:c>
      <x:c r="G13" s="8" t="n">
        <x:v>85</x:v>
      </x:c>
      <x:c r="H13" s="8" t="n">
        <x:v>3</x:v>
      </x:c>
      <x:c r="I13" s="8" t="n">
        <x:f>G13*H13</x:f>
        <x:v>255</x:v>
      </x:c>
      <x:c r="J13" t="str">
        <x:v>N</x:v>
      </x:c>
      <x:c r="K13" t="str">
        <x:v>Isolation and termination repair</x:v>
      </x:c>
    </x:row>
    <x:row r="14">
      <x:c r="A14" t="str">
        <x:v>WO-TEST-003</x:v>
      </x:c>
      <x:c r="B14" t="str">
        <x:v>DB Hot Spot</x:v>
      </x:c>
      <x:c r="C14" t="str">
        <x:v>Equipment</x:v>
      </x:c>
      <x:c r="D14" t="str">
        <x:v>EQ-THERMAL</x:v>
      </x:c>
      <x:c r="E14" t="str">
        <x:v>Thermal Imaging Camera</x:v>
      </x:c>
      <x:c r="F14" t="str">
        <x:v>day</x:v>
      </x:c>
      <x:c r="G14" s="8" t="n">
        <x:v>120</x:v>
      </x:c>
      <x:c r="H14" s="8" t="n">
        <x:v>1</x:v>
      </x:c>
      <x:c r="I14" s="8" t="n">
        <x:f>G14*H14</x:f>
        <x:v>120</x:v>
      </x:c>
      <x:c r="J14" t="str">
        <x:v>N</x:v>
      </x:c>
      <x:c r="K14" t="str">
        <x:v>Before/after thermal scan</x:v>
      </x:c>
    </x:row>
    <x:row r="15">
      <x:c r="A15" t="str">
        <x:v>WO-TEST-003</x:v>
      </x:c>
      <x:c r="B15" t="str">
        <x:v>DB Hot Spot</x:v>
      </x:c>
      <x:c r="C15" t="str">
        <x:v>Material</x:v>
      </x:c>
      <x:c r="D15" t="str">
        <x:v>MAT-CONS</x:v>
      </x:c>
      <x:c r="E15" t="str">
        <x:v>General Consumables</x:v>
      </x:c>
      <x:c r="F15" t="str">
        <x:v>lot</x:v>
      </x:c>
      <x:c r="G15" s="8" t="n">
        <x:v>25</x:v>
      </x:c>
      <x:c r="H15" s="8" t="n">
        <x:v>1</x:v>
      </x:c>
      <x:c r="I15" s="8" t="n">
        <x:f>G15*H15</x:f>
        <x:v>25</x:v>
      </x:c>
      <x:c r="J15" t="str">
        <x:v>N</x:v>
      </x:c>
      <x:c r="K15" t="str">
        <x:v>Lugs/labels/cleaning</x:v>
      </x:c>
    </x:row>
  </x:sheetData>
  <x:pageMargins left="0.7" right="0.7" top="0.75" bottom="0.75" header="0.3" footer="0.3"/>
  <x:tableParts count="1">
    <x:tablePart xmlns:r="http://schemas.openxmlformats.org/officeDocument/2006/relationships" r:id="R3f4fe7dc715e47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20.8799991607666" hidden="0" customWidth="1"/>
    <x:col min="3" max="3" width="15.5" hidden="0" customWidth="1"/>
    <x:col min="4" max="4" width="19.8799991607666" hidden="0" customWidth="1"/>
    <x:col min="5" max="5" width="18" hidden="0" customWidth="1"/>
    <x:col min="6" max="6" width="13.380000114440918" hidden="0" customWidth="1"/>
    <x:col min="7" max="7" width="11.130000114440918" hidden="0" customWidth="1"/>
    <x:col min="8" max="8" width="13.630000114440918" hidden="0" customWidth="1"/>
    <x:col min="9" max="9" width="10.130000114440918" hidden="0" customWidth="1"/>
    <x:col min="10" max="10" width="22.8799991607666" hidden="0" customWidth="1"/>
    <x:col min="11" max="11" width="19.25" hidden="0" customWidth="1"/>
    <x:col min="12" max="12" width="24.8799991607666" hidden="0" customWidth="1"/>
    <x:col min="13" max="13" width="18.8799991607666" hidden="0" customWidth="1"/>
  </x:cols>
  <x:sheetData>
    <x:row r="1">
      <x:c r="A1" s="4" t="str">
        <x:v>Work Order No.</x:v>
      </x:c>
      <x:c r="B1" s="4" t="str">
        <x:v>Contractor Name</x:v>
      </x:c>
      <x:c r="C1" s="4" t="str">
        <x:v>Personnel Name</x:v>
      </x:c>
      <x:c r="D1" s="4" t="str">
        <x:v>Employee / Worker ID</x:v>
      </x:c>
      <x:c r="E1" s="4" t="str">
        <x:v>Trade / Designation</x:v>
      </x:c>
      <x:c r="F1" s="4" t="str">
        <x:v>Skill Category</x:v>
      </x:c>
      <x:c r="G1" s="4" t="str">
        <x:v>Work Date</x:v>
      </x:c>
      <x:c r="H1" s="4" t="str">
        <x:v>Normal Hours</x:v>
      </x:c>
      <x:c r="I1" s="4" t="str">
        <x:v>OT Hours</x:v>
      </x:c>
      <x:c r="J1" s="4" t="str">
        <x:v>Normal Hourly Rate (SGD)</x:v>
      </x:c>
      <x:c r="K1" s="4" t="str">
        <x:v>OT Hourly Rate (SGD)</x:v>
      </x:c>
      <x:c r="L1" s="4" t="str">
        <x:v>Actual Labour Amount (SGD)</x:v>
      </x:c>
      <x:c r="M1" s="4" t="str">
        <x:v>Remarks</x:v>
      </x:c>
    </x:row>
    <x:row r="2">
      <x:c r="A2" t="str">
        <x:v>WO-TEST-004</x:v>
      </x:c>
      <x:c r="B2" t="str">
        <x:v>UAT Fire Alarm Contractor</x:v>
      </x:c>
      <x:c r="C2" t="str">
        <x:v>Lim Wei Ming</x:v>
      </x:c>
      <x:c r="D2" t="str">
        <x:v>UAT-FA-017</x:v>
      </x:c>
      <x:c r="E2" t="str">
        <x:v>Fire Alarm Technician</x:v>
      </x:c>
      <x:c r="F2" t="str">
        <x:v>Fire Alarm</x:v>
      </x:c>
      <x:c r="G2" t="str">
        <x:v>2026-09-15</x:v>
      </x:c>
      <x:c r="H2" t="n">
        <x:v>2.5</x:v>
      </x:c>
      <x:c r="I2" t="n">
        <x:v>0</x:v>
      </x:c>
      <x:c r="J2" s="8" t="n">
        <x:v>75</x:v>
      </x:c>
      <x:c r="K2" s="8" t="n">
        <x:v>115</x:v>
      </x:c>
      <x:c r="L2" s="8" t="n">
        <x:f>H2*J2+I2*K2</x:f>
        <x:v>187.5</x:v>
      </x:c>
      <x:c r="M2" t="str">
        <x:v>SIMULATION / UAT ONLY</x:v>
      </x:c>
    </x:row>
    <x:row r="3">
      <x:c r="A3" t="str">
        <x:v>WO-TEST-001</x:v>
      </x:c>
      <x:c r="B3" t="str">
        <x:v>UAT Mechanical Contractor</x:v>
      </x:c>
      <x:c r="C3" t="str">
        <x:v>Raj Kumar</x:v>
      </x:c>
      <x:c r="D3" t="str">
        <x:v>UAT-ME-009</x:v>
      </x:c>
      <x:c r="E3" t="str">
        <x:v>Mechanical Technician</x:v>
      </x:c>
      <x:c r="F3" t="str">
        <x:v>Mechanical</x:v>
      </x:c>
      <x:c r="G3" t="str">
        <x:v>2026-09-15</x:v>
      </x:c>
      <x:c r="H3" t="n">
        <x:v>4</x:v>
      </x:c>
      <x:c r="I3" t="n">
        <x:v>0</x:v>
      </x:c>
      <x:c r="J3" s="8" t="n">
        <x:v>60</x:v>
      </x:c>
      <x:c r="K3" s="8" t="n">
        <x:v>95</x:v>
      </x:c>
      <x:c r="L3" s="8" t="n">
        <x:f>H3*J3+I3*K3</x:f>
        <x:v>240</x:v>
      </x:c>
      <x:c r="M3" t="str">
        <x:v>SIMULATION / UAT ONLY</x:v>
      </x:c>
    </x:row>
  </x:sheetData>
  <x:pageMargins left="0.7" right="0.7" top="0.75" bottom="0.75" header="0.3" footer="0.3"/>
  <x:tableParts count="1">
    <x:tablePart xmlns:r="http://schemas.openxmlformats.org/officeDocument/2006/relationships" r:id="R353089641d7c43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20" hidden="0" customWidth="1"/>
    <x:col min="3" max="3" width="14.380000114440918" hidden="0" customWidth="1"/>
    <x:col min="4" max="4" width="28.5" hidden="0" customWidth="1"/>
    <x:col min="5" max="5" width="6.380000114440918" hidden="0" customWidth="1"/>
    <x:col min="6" max="6" width="15" hidden="0" customWidth="1"/>
    <x:col min="7" max="7" width="20.75" hidden="0" customWidth="1"/>
    <x:col min="8" max="8" width="20.25" hidden="0" customWidth="1"/>
    <x:col min="9" max="9" width="19.25" hidden="0" customWidth="1"/>
    <x:col min="10" max="10" width="15.130000114440918" hidden="0" customWidth="1"/>
    <x:col min="11" max="11" width="16.3799991607666" hidden="0" customWidth="1"/>
    <x:col min="12" max="12" width="18.8799991607666" hidden="0" customWidth="1"/>
  </x:cols>
  <x:sheetData>
    <x:row r="1">
      <x:c r="A1" s="4" t="str">
        <x:v>Work Order No.</x:v>
      </x:c>
      <x:c r="B1" s="4" t="str">
        <x:v>Contractor Name</x:v>
      </x:c>
      <x:c r="C1" s="4" t="str">
        <x:v>Item / Part No.</x:v>
      </x:c>
      <x:c r="D1" s="4" t="str">
        <x:v>Description</x:v>
      </x:c>
      <x:c r="E1" s="4" t="str">
        <x:v>Unit</x:v>
      </x:c>
      <x:c r="F1" s="4" t="str">
        <x:v>Actual Quantity</x:v>
      </x:c>
      <x:c r="G1" s="4" t="str">
        <x:v>Agreed Unit Rate (SGD)</x:v>
      </x:c>
      <x:c r="H1" s="4" t="str">
        <x:v>Actual Unit Rate (SGD)</x:v>
      </x:c>
      <x:c r="I1" s="4" t="str">
        <x:v>Actual Amount (SGD)</x:v>
      </x:c>
      <x:c r="J1" s="4" t="str">
        <x:v>Rate Exception?</x:v>
      </x:c>
      <x:c r="K1" s="4" t="str">
        <x:v>Exception Reason</x:v>
      </x:c>
      <x:c r="L1" s="4" t="str">
        <x:v>Remarks</x:v>
      </x:c>
    </x:row>
    <x:row r="2">
      <x:c r="A2" t="str">
        <x:v>WO-TEST-004</x:v>
      </x:c>
      <x:c r="B2" t="str">
        <x:v>UAT Fire Alarm Contractor</x:v>
      </x:c>
      <x:c r="C2" t="str">
        <x:v>MAT-MODULE</x:v>
      </x:c>
      <x:c r="D2" t="str">
        <x:v>Fire Alarm Interface / Control Module</x:v>
      </x:c>
      <x:c r="E2" t="str">
        <x:v>no.</x:v>
      </x:c>
      <x:c r="F2" t="n">
        <x:v>1</x:v>
      </x:c>
      <x:c r="G2" s="8" t="n">
        <x:v>210</x:v>
      </x:c>
      <x:c r="H2" s="8" t="n">
        <x:v>210</x:v>
      </x:c>
      <x:c r="I2" s="8" t="n">
        <x:f>F2*H2</x:f>
        <x:v>210</x:v>
      </x:c>
      <x:c r="J2" t="str">
        <x:v>N</x:v>
      </x:c>
      <x:c r="K2" t="str"/>
      <x:c r="L2" t="str">
        <x:v>SIMULATION / UAT ONLY</x:v>
      </x:c>
    </x:row>
    <x:row r="3">
      <x:c r="A3" t="str">
        <x:v>WO-TEST-004</x:v>
      </x:c>
      <x:c r="B3" t="str">
        <x:v>UAT Fire Alarm Contractor</x:v>
      </x:c>
      <x:c r="C3" t="str">
        <x:v>MAT-CONS</x:v>
      </x:c>
      <x:c r="D3" t="str">
        <x:v>General Consumables</x:v>
      </x:c>
      <x:c r="E3" t="str">
        <x:v>lot</x:v>
      </x:c>
      <x:c r="F3" t="n">
        <x:v>1</x:v>
      </x:c>
      <x:c r="G3" s="8" t="n">
        <x:v>25</x:v>
      </x:c>
      <x:c r="H3" s="8" t="n">
        <x:v>25</x:v>
      </x:c>
      <x:c r="I3" s="8" t="n">
        <x:f>F3*H3</x:f>
        <x:v>25</x:v>
      </x:c>
      <x:c r="J3" t="str">
        <x:v>N</x:v>
      </x:c>
      <x:c r="K3" t="str"/>
      <x:c r="L3" t="str">
        <x:v>SIMULATION / UAT ONLY</x:v>
      </x:c>
    </x:row>
  </x:sheetData>
  <x:pageMargins left="0.7" right="0.7" top="0.75" bottom="0.75" header="0.3" footer="0.3"/>
  <x:tableParts count="1">
    <x:tablePart xmlns:r="http://schemas.openxmlformats.org/officeDocument/2006/relationships" r:id="Rb5b484490ad548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.130000114440918" hidden="0" customWidth="1"/>
    <x:col min="2" max="2" width="20" hidden="0" customWidth="1"/>
    <x:col min="3" max="3" width="21.3799991607666" hidden="0" customWidth="1"/>
    <x:col min="4" max="4" width="27.5" hidden="0" customWidth="1"/>
    <x:col min="5" max="5" width="6.380000114440918" hidden="0" customWidth="1"/>
    <x:col min="6" max="6" width="15" hidden="0" customWidth="1"/>
    <x:col min="7" max="7" width="20.75" hidden="0" customWidth="1"/>
    <x:col min="8" max="8" width="20.25" hidden="0" customWidth="1"/>
    <x:col min="9" max="9" width="19.25" hidden="0" customWidth="1"/>
    <x:col min="10" max="10" width="15.130000114440918" hidden="0" customWidth="1"/>
    <x:col min="11" max="11" width="16.3799991607666" hidden="0" customWidth="1"/>
    <x:col min="12" max="12" width="18.8799991607666" hidden="0" customWidth="1"/>
  </x:cols>
  <x:sheetData>
    <x:row r="1">
      <x:c r="A1" s="4" t="str">
        <x:v>Work Order No.</x:v>
      </x:c>
      <x:c r="B1" s="4" t="str">
        <x:v>Contractor Name</x:v>
      </x:c>
      <x:c r="C1" s="4" t="str">
        <x:v>Equipment / Service Ref</x:v>
      </x:c>
      <x:c r="D1" s="4" t="str">
        <x:v>Equipment / Service Description</x:v>
      </x:c>
      <x:c r="E1" s="4" t="str">
        <x:v>Unit</x:v>
      </x:c>
      <x:c r="F1" s="4" t="str">
        <x:v>Actual Quantity</x:v>
      </x:c>
      <x:c r="G1" s="4" t="str">
        <x:v>Agreed Unit Rate (SGD)</x:v>
      </x:c>
      <x:c r="H1" s="4" t="str">
        <x:v>Actual Unit Rate (SGD)</x:v>
      </x:c>
      <x:c r="I1" s="4" t="str">
        <x:v>Actual Amount (SGD)</x:v>
      </x:c>
      <x:c r="J1" s="4" t="str">
        <x:v>Rate Exception?</x:v>
      </x:c>
      <x:c r="K1" s="4" t="str">
        <x:v>Exception Reason</x:v>
      </x:c>
      <x:c r="L1" s="4" t="str">
        <x:v>Remarks</x:v>
      </x:c>
    </x:row>
    <x:row r="2">
      <x:c r="A2" t="str">
        <x:v>WO-TEST-004</x:v>
      </x:c>
      <x:c r="B2" t="str">
        <x:v>UAT Fire Alarm Contractor</x:v>
      </x:c>
      <x:c r="C2" t="str">
        <x:v>CALL-SPEC</x:v>
      </x:c>
      <x:c r="D2" t="str">
        <x:v>Specialist Contractor Call-out</x:v>
      </x:c>
      <x:c r="E2" t="str">
        <x:v>visit</x:v>
      </x:c>
      <x:c r="F2" t="n">
        <x:v>1</x:v>
      </x:c>
      <x:c r="G2" s="8" t="n">
        <x:v>150</x:v>
      </x:c>
      <x:c r="H2" s="8" t="n">
        <x:v>150</x:v>
      </x:c>
      <x:c r="I2" s="8" t="n">
        <x:f>F2*H2</x:f>
        <x:v>150</x:v>
      </x:c>
      <x:c r="J2" t="str">
        <x:v>N</x:v>
      </x:c>
      <x:c r="K2" t="str"/>
      <x:c r="L2" t="str">
        <x:v>SIMULATION / UAT ONLY</x:v>
      </x:c>
    </x:row>
    <x:row r="3">
      <x:c r="G3" s="8"/>
      <x:c r="H3" s="8"/>
      <x:c r="I3" s="8"/>
    </x:row>
    <x:row r="4">
      <x:c r="G4" s="8"/>
      <x:c r="H4" s="8"/>
      <x:c r="I4" s="8"/>
    </x:row>
    <x:row r="5">
      <x:c r="G5" s="8"/>
      <x:c r="H5" s="8"/>
      <x:c r="I5" s="8"/>
    </x:row>
    <x:row r="6">
      <x:c r="G6" s="8"/>
      <x:c r="H6" s="8"/>
      <x:c r="I6" s="8"/>
    </x:row>
    <x:row r="7">
      <x:c r="G7" s="8"/>
      <x:c r="H7" s="8"/>
      <x:c r="I7" s="8"/>
    </x:row>
    <x:row r="8">
      <x:c r="G8" s="8"/>
      <x:c r="H8" s="8"/>
      <x:c r="I8" s="8"/>
    </x:row>
    <x:row r="9">
      <x:c r="G9" s="8"/>
      <x:c r="H9" s="8"/>
      <x:c r="I9" s="8"/>
    </x:row>
    <x:row r="10">
      <x:c r="G10" s="8"/>
      <x:c r="H10" s="8"/>
      <x:c r="I10" s="8"/>
    </x:row>
  </x:sheetData>
  <x:pageMargins left="0.7" right="0.7" top="0.75" bottom="0.75" header="0.3" footer="0.3"/>
  <x:tableParts count="1">
    <x:tablePart xmlns:r="http://schemas.openxmlformats.org/officeDocument/2006/relationships" r:id="R8ecb332ae45f4d5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</x:cols>
  <x:sheetData>
    <x:row r="1">
      <x:c r="A1" s="3" t="str">
        <x:v>FMWorks UAT Cost Simulation</x:v>
      </x:c>
      <x:c r="B1" s="3" t="str"/>
    </x:row>
    <x:row r="2">
      <x:c r="A2" s="11" t="str">
        <x:v>IMPORTANT</x:v>
      </x:c>
      <x:c r="B2" s="11" t="str">
        <x:v>SIMULATION / UAT RATES — NOT CONTRACT RATES</x:v>
      </x:c>
    </x:row>
    <x:row r="3">
      <x:c r="A3" t="str">
        <x:v>Work Order</x:v>
      </x:c>
      <x:c r="B3" t="str">
        <x:v>WO-TEST-004</x:v>
      </x:c>
    </x:row>
    <x:row r="4">
      <x:c r="A4" t="str">
        <x:v>Approved Quotation (SGD)</x:v>
      </x:c>
      <x:c r="B4" s="8" t="n">
        <x:f>SUMIF('Quotation Examples'!A:A,B3,'Quotation Examples'!I:I)</x:f>
        <x:v>510</x:v>
      </x:c>
    </x:row>
    <x:row r="5">
      <x:c r="A5" t="str">
        <x:v>Actual Labour (SGD)</x:v>
      </x:c>
      <x:c r="B5" s="8" t="n">
        <x:f>SUMIF('Personnel Actual'!A:A,B3,'Personnel Actual'!L:L)</x:f>
        <x:v>187.5</x:v>
      </x:c>
    </x:row>
    <x:row r="6">
      <x:c r="A6" t="str">
        <x:v>Actual Materials (SGD)</x:v>
      </x:c>
      <x:c r="B6" s="8" t="n">
        <x:f>SUMIF('Materials Actual'!A:A,B3,'Materials Actual'!I:I)</x:f>
        <x:v>235</x:v>
      </x:c>
    </x:row>
    <x:row r="7">
      <x:c r="A7" t="str">
        <x:v>Actual Service/Equipment (SGD)</x:v>
      </x:c>
      <x:c r="B7" s="8" t="n">
        <x:f>SUMIF('Equipment Actual'!A:A,B3,'Equipment Actual'!I:I)</x:f>
        <x:v>150</x:v>
      </x:c>
    </x:row>
    <x:row r="8">
      <x:c r="A8" t="str">
        <x:v>Total Actual (SGD)</x:v>
      </x:c>
      <x:c r="B8" s="8" t="n">
        <x:f>SUM(B5:B7)</x:f>
        <x:v>572.5</x:v>
      </x:c>
    </x:row>
    <x:row r="9">
      <x:c r="A9" t="str">
        <x:v>Variance (SGD)</x:v>
      </x:c>
      <x:c r="B9" s="8" t="n">
        <x:f>B8-B4</x:f>
        <x:v>62.5</x:v>
      </x:c>
    </x:row>
    <x:row r="10">
      <x:c r="A10" t="str">
        <x:v>Variance (%)</x:v>
      </x:c>
      <x:c r="B10" s="14" t="n">
        <x:f>IF(B4=0,0,B9/B4)</x:f>
        <x:v>0.12254901960784313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FMWorks Contractor Costing UAT Workbook</x:v>
      </x:c>
    </x:row>
    <x:row r="2">
      <x:c r="A2" s="16" t="str">
        <x:v>Purpose: realistic simulation data for contractor agreed rates, quotation, personnel, materials, equipment/services and actual-vs-quoted costing.</x:v>
      </x:c>
    </x:row>
    <x:row r="3">
      <x:c r="A3" s="16" t="str">
        <x:v>All rates in this workbook are SIMULATION / UAT ONLY and must never be treated as actual contractual rates.</x:v>
      </x:c>
    </x:row>
    <x:row r="4">
      <x:c r="A4" s="16" t="str">
        <x:v>Workflow: Agreed Rates → Contractor Quotation → Approval to Proceed → Field Work → CSV Actuals → Variance → Completion / Payment Assessment.</x:v>
      </x:c>
    </x:row>
    <x:row r="5">
      <x:c r="A5" s="16" t="str">
        <x:v>Field-capable duty roles: Technician, Supervisor, Facility Manager, Administrator.</x:v>
      </x:c>
    </x:row>
    <x:row r="6">
      <x:c r="A6" s="16" t="str">
        <x:v>Quotation rates should match the agreed rate schedule unless explicitly flagged as a rate exception.</x:v>
      </x:c>
    </x:row>
    <x:row r="7">
      <x:c r="A7" s="16" t="str">
        <x:v>The production system should replace these values with each facility's actual tender / term-contract rates.</x:v>
      </x:c>
    </x:row>
  </x:sheetData>
  <x:pageMargins left="0.7" right="0.7" top="0.75" bottom="0.75" header="0.3" footer="0.3"/>
</x:worksheet>
</file>